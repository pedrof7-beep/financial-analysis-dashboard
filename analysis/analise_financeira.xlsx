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dro\Desktop\"/>
    </mc:Choice>
  </mc:AlternateContent>
  <xr:revisionPtr revIDLastSave="0" documentId="13_ncr:1_{3252AAA0-98B4-4CCA-AFB5-67E80DAC5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7" r:id="rId1"/>
    <sheet name="Comparação financeira" sheetId="1" r:id="rId2"/>
    <sheet name="Receitas" sheetId="2" r:id="rId3"/>
    <sheet name="Rentabilidade" sheetId="3" r:id="rId4"/>
    <sheet name="Caixa operacional" sheetId="4" r:id="rId5"/>
    <sheet name="Liquidez" sheetId="5" r:id="rId6"/>
    <sheet name="Endividamento" sheetId="6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62" i="7" l="1"/>
  <c r="Z162" i="7"/>
  <c r="X162" i="7"/>
  <c r="Y162" i="7" s="1"/>
  <c r="AA161" i="7"/>
  <c r="Z161" i="7"/>
  <c r="X161" i="7"/>
  <c r="Y161" i="7" s="1"/>
  <c r="AA160" i="7"/>
  <c r="Z160" i="7"/>
  <c r="X160" i="7"/>
  <c r="Y160" i="7" s="1"/>
  <c r="AA159" i="7"/>
  <c r="Z159" i="7"/>
  <c r="X159" i="7"/>
  <c r="Y159" i="7" s="1"/>
  <c r="AA158" i="7"/>
  <c r="Z158" i="7"/>
  <c r="X158" i="7"/>
  <c r="Y158" i="7" s="1"/>
  <c r="AA157" i="7"/>
  <c r="Z157" i="7"/>
  <c r="X157" i="7"/>
  <c r="Y157" i="7" s="1"/>
  <c r="AA156" i="7"/>
  <c r="Z156" i="7"/>
  <c r="X156" i="7"/>
  <c r="Y156" i="7" s="1"/>
  <c r="AA155" i="7"/>
  <c r="Z155" i="7"/>
  <c r="X155" i="7"/>
  <c r="Y155" i="7" s="1"/>
  <c r="AA154" i="7"/>
  <c r="Z154" i="7"/>
  <c r="X154" i="7"/>
  <c r="Y154" i="7" s="1"/>
  <c r="AA153" i="7"/>
  <c r="Z153" i="7"/>
  <c r="X153" i="7"/>
  <c r="Y153" i="7" s="1"/>
  <c r="AA152" i="7"/>
  <c r="Z152" i="7"/>
  <c r="X152" i="7"/>
  <c r="Y152" i="7" s="1"/>
  <c r="AA151" i="7"/>
  <c r="Z151" i="7"/>
  <c r="X151" i="7"/>
  <c r="Y151" i="7" s="1"/>
  <c r="AA150" i="7"/>
  <c r="Z150" i="7"/>
  <c r="X150" i="7"/>
  <c r="Y150" i="7" s="1"/>
  <c r="AA149" i="7"/>
  <c r="Z149" i="7"/>
  <c r="X149" i="7"/>
  <c r="Y149" i="7" s="1"/>
  <c r="AA148" i="7"/>
  <c r="Z148" i="7"/>
  <c r="X148" i="7"/>
  <c r="Y148" i="7" s="1"/>
  <c r="AA147" i="7"/>
  <c r="Z147" i="7"/>
  <c r="X147" i="7"/>
  <c r="Y147" i="7" s="1"/>
  <c r="AA146" i="7"/>
  <c r="Z146" i="7"/>
  <c r="X146" i="7"/>
  <c r="Y146" i="7" s="1"/>
  <c r="AA145" i="7"/>
  <c r="Z145" i="7"/>
  <c r="X145" i="7"/>
  <c r="Y145" i="7" s="1"/>
  <c r="AA144" i="7"/>
  <c r="Z144" i="7"/>
  <c r="X144" i="7"/>
  <c r="Y144" i="7" s="1"/>
  <c r="AA143" i="7"/>
  <c r="Z143" i="7"/>
  <c r="X143" i="7"/>
  <c r="Y143" i="7" s="1"/>
  <c r="AA142" i="7"/>
  <c r="Z142" i="7"/>
  <c r="X142" i="7"/>
  <c r="Y142" i="7" s="1"/>
  <c r="AA141" i="7"/>
  <c r="Z141" i="7"/>
  <c r="X141" i="7"/>
  <c r="Y141" i="7" s="1"/>
  <c r="AA140" i="7"/>
  <c r="Z140" i="7"/>
  <c r="X140" i="7"/>
  <c r="Y140" i="7" s="1"/>
  <c r="AA139" i="7"/>
  <c r="Z139" i="7"/>
  <c r="X139" i="7"/>
  <c r="Y139" i="7" s="1"/>
  <c r="AA138" i="7"/>
  <c r="Z138" i="7"/>
  <c r="X138" i="7"/>
  <c r="Y138" i="7" s="1"/>
  <c r="AA137" i="7"/>
  <c r="Z137" i="7"/>
  <c r="X137" i="7"/>
  <c r="Y137" i="7" s="1"/>
  <c r="AA136" i="7"/>
  <c r="Z136" i="7"/>
  <c r="X136" i="7"/>
  <c r="Y136" i="7" s="1"/>
  <c r="AA135" i="7"/>
  <c r="Z135" i="7"/>
  <c r="X135" i="7"/>
  <c r="Y135" i="7" s="1"/>
  <c r="AA134" i="7"/>
  <c r="Z134" i="7"/>
  <c r="X134" i="7"/>
  <c r="Y134" i="7" s="1"/>
  <c r="AA133" i="7"/>
  <c r="Z133" i="7"/>
  <c r="X133" i="7"/>
  <c r="Y133" i="7" s="1"/>
  <c r="AA132" i="7"/>
  <c r="Z132" i="7"/>
  <c r="X132" i="7"/>
  <c r="Y132" i="7" s="1"/>
  <c r="AA131" i="7"/>
  <c r="Z131" i="7"/>
  <c r="X131" i="7"/>
  <c r="Y131" i="7" s="1"/>
  <c r="AA130" i="7"/>
  <c r="Z130" i="7"/>
  <c r="X130" i="7"/>
  <c r="Y130" i="7" s="1"/>
  <c r="AA129" i="7"/>
  <c r="Z129" i="7"/>
  <c r="X129" i="7"/>
  <c r="Y129" i="7" s="1"/>
  <c r="AA128" i="7"/>
  <c r="Z128" i="7"/>
  <c r="X128" i="7"/>
  <c r="Y128" i="7" s="1"/>
  <c r="AA127" i="7"/>
  <c r="Z127" i="7"/>
  <c r="X127" i="7"/>
  <c r="Y127" i="7" s="1"/>
  <c r="AA126" i="7"/>
  <c r="Z126" i="7"/>
  <c r="X126" i="7"/>
  <c r="Y126" i="7" s="1"/>
  <c r="AA125" i="7"/>
  <c r="Z125" i="7"/>
  <c r="X125" i="7"/>
  <c r="Y125" i="7" s="1"/>
  <c r="AA124" i="7"/>
  <c r="Z124" i="7"/>
  <c r="X124" i="7"/>
  <c r="Y124" i="7" s="1"/>
  <c r="AA123" i="7"/>
  <c r="Z123" i="7"/>
  <c r="X123" i="7"/>
  <c r="Y123" i="7" s="1"/>
  <c r="AA122" i="7"/>
  <c r="Z122" i="7"/>
  <c r="X122" i="7"/>
  <c r="Y122" i="7" s="1"/>
  <c r="AA121" i="7"/>
  <c r="Z121" i="7"/>
  <c r="X121" i="7"/>
  <c r="Y121" i="7" s="1"/>
  <c r="AA120" i="7"/>
  <c r="Z120" i="7"/>
  <c r="X120" i="7"/>
  <c r="Y120" i="7" s="1"/>
  <c r="AA119" i="7"/>
  <c r="Z119" i="7"/>
  <c r="X119" i="7"/>
  <c r="Y119" i="7" s="1"/>
  <c r="AA118" i="7"/>
  <c r="Z118" i="7"/>
  <c r="X118" i="7"/>
  <c r="Y118" i="7" s="1"/>
  <c r="AA117" i="7"/>
  <c r="Z117" i="7"/>
  <c r="X117" i="7"/>
  <c r="Y117" i="7" s="1"/>
  <c r="AA116" i="7"/>
  <c r="Z116" i="7"/>
  <c r="X116" i="7"/>
  <c r="Y116" i="7" s="1"/>
  <c r="AA115" i="7"/>
  <c r="Z115" i="7"/>
  <c r="X115" i="7"/>
  <c r="Y115" i="7" s="1"/>
  <c r="AA114" i="7"/>
  <c r="Z114" i="7"/>
  <c r="X114" i="7"/>
  <c r="Y114" i="7" s="1"/>
  <c r="AA113" i="7"/>
  <c r="Z113" i="7"/>
  <c r="X113" i="7"/>
  <c r="Y113" i="7" s="1"/>
  <c r="AA112" i="7"/>
  <c r="Z112" i="7"/>
  <c r="X112" i="7"/>
  <c r="Y112" i="7" s="1"/>
  <c r="AA111" i="7"/>
  <c r="Z111" i="7"/>
  <c r="X111" i="7"/>
  <c r="Y111" i="7" s="1"/>
  <c r="AA110" i="7"/>
  <c r="Z110" i="7"/>
  <c r="X110" i="7"/>
  <c r="Y110" i="7" s="1"/>
  <c r="AA109" i="7"/>
  <c r="Z109" i="7"/>
  <c r="X109" i="7"/>
  <c r="Y109" i="7" s="1"/>
  <c r="AA108" i="7"/>
  <c r="Z108" i="7"/>
  <c r="X108" i="7"/>
  <c r="Y108" i="7" s="1"/>
  <c r="AA107" i="7"/>
  <c r="Z107" i="7"/>
  <c r="X107" i="7"/>
  <c r="Y107" i="7" s="1"/>
  <c r="AA106" i="7"/>
  <c r="Z106" i="7"/>
  <c r="X106" i="7"/>
  <c r="Y106" i="7" s="1"/>
  <c r="AA105" i="7"/>
  <c r="Z105" i="7"/>
  <c r="X105" i="7"/>
  <c r="Y105" i="7" s="1"/>
  <c r="AA104" i="7"/>
  <c r="Z104" i="7"/>
  <c r="X104" i="7"/>
  <c r="Y104" i="7" s="1"/>
  <c r="AA103" i="7"/>
  <c r="Z103" i="7"/>
  <c r="X103" i="7"/>
  <c r="Y103" i="7" s="1"/>
  <c r="AA102" i="7"/>
  <c r="Z102" i="7"/>
  <c r="X102" i="7"/>
  <c r="Y102" i="7" s="1"/>
  <c r="AA101" i="7"/>
  <c r="Z101" i="7"/>
  <c r="X101" i="7"/>
  <c r="Y101" i="7" s="1"/>
  <c r="AA100" i="7"/>
  <c r="Z100" i="7"/>
  <c r="X100" i="7"/>
  <c r="Y100" i="7" s="1"/>
  <c r="AA99" i="7"/>
  <c r="Z99" i="7"/>
  <c r="X99" i="7"/>
  <c r="Y99" i="7" s="1"/>
  <c r="AA98" i="7"/>
  <c r="Z98" i="7"/>
  <c r="X98" i="7"/>
  <c r="Y98" i="7" s="1"/>
  <c r="AA97" i="7"/>
  <c r="Z97" i="7"/>
  <c r="X97" i="7"/>
  <c r="Y97" i="7" s="1"/>
  <c r="AA96" i="7"/>
  <c r="Z96" i="7"/>
  <c r="X96" i="7"/>
  <c r="Y96" i="7" s="1"/>
  <c r="AA95" i="7"/>
  <c r="Z95" i="7"/>
  <c r="X95" i="7"/>
  <c r="Y95" i="7" s="1"/>
  <c r="AA94" i="7"/>
  <c r="Z94" i="7"/>
  <c r="X94" i="7"/>
  <c r="Y94" i="7" s="1"/>
  <c r="AA93" i="7"/>
  <c r="Z93" i="7"/>
  <c r="X93" i="7"/>
  <c r="Y93" i="7" s="1"/>
  <c r="AA92" i="7"/>
  <c r="Z92" i="7"/>
  <c r="X92" i="7"/>
  <c r="Y92" i="7" s="1"/>
  <c r="AA91" i="7"/>
  <c r="Z91" i="7"/>
  <c r="X91" i="7"/>
  <c r="Y91" i="7" s="1"/>
  <c r="AA90" i="7"/>
  <c r="Z90" i="7"/>
  <c r="X90" i="7"/>
  <c r="Y90" i="7" s="1"/>
  <c r="AA89" i="7"/>
  <c r="Z89" i="7"/>
  <c r="X89" i="7"/>
  <c r="Y89" i="7" s="1"/>
  <c r="AA88" i="7"/>
  <c r="Z88" i="7"/>
  <c r="X88" i="7"/>
  <c r="Y88" i="7" s="1"/>
  <c r="AA87" i="7"/>
  <c r="Z87" i="7"/>
  <c r="X87" i="7"/>
  <c r="Y87" i="7" s="1"/>
  <c r="AA86" i="7"/>
  <c r="Z86" i="7"/>
  <c r="X86" i="7"/>
  <c r="Y86" i="7" s="1"/>
  <c r="AA85" i="7"/>
  <c r="Z85" i="7"/>
  <c r="X85" i="7"/>
  <c r="Y85" i="7" s="1"/>
  <c r="AA84" i="7"/>
  <c r="Z84" i="7"/>
  <c r="X84" i="7"/>
  <c r="Y84" i="7" s="1"/>
  <c r="AA83" i="7"/>
  <c r="Z83" i="7"/>
  <c r="X83" i="7"/>
  <c r="Y83" i="7" s="1"/>
  <c r="AA82" i="7"/>
  <c r="Z82" i="7"/>
  <c r="X82" i="7"/>
  <c r="Y82" i="7" s="1"/>
  <c r="AA81" i="7"/>
  <c r="Z81" i="7"/>
  <c r="X81" i="7"/>
  <c r="Y81" i="7" s="1"/>
  <c r="AA80" i="7"/>
  <c r="Z80" i="7"/>
  <c r="X80" i="7"/>
  <c r="Y80" i="7" s="1"/>
  <c r="AA79" i="7"/>
  <c r="Z79" i="7"/>
  <c r="X79" i="7"/>
  <c r="Y79" i="7" s="1"/>
  <c r="AA78" i="7"/>
  <c r="Z78" i="7"/>
  <c r="X78" i="7"/>
  <c r="Y78" i="7" s="1"/>
  <c r="AA77" i="7"/>
  <c r="Z77" i="7"/>
  <c r="Y77" i="7"/>
  <c r="X77" i="7"/>
  <c r="AA76" i="7"/>
  <c r="Z76" i="7"/>
  <c r="X76" i="7"/>
  <c r="Y76" i="7" s="1"/>
  <c r="AA75" i="7"/>
  <c r="Z75" i="7"/>
  <c r="X75" i="7"/>
  <c r="Y75" i="7" s="1"/>
  <c r="AA74" i="7"/>
  <c r="Z74" i="7"/>
  <c r="X74" i="7"/>
  <c r="Y74" i="7" s="1"/>
  <c r="AA73" i="7"/>
  <c r="Z73" i="7"/>
  <c r="X73" i="7"/>
  <c r="Y73" i="7" s="1"/>
  <c r="AA72" i="7"/>
  <c r="Z72" i="7"/>
  <c r="X72" i="7"/>
  <c r="Y72" i="7" s="1"/>
  <c r="AA71" i="7"/>
  <c r="Z71" i="7"/>
  <c r="X71" i="7"/>
  <c r="Y71" i="7" s="1"/>
  <c r="AA70" i="7"/>
  <c r="Z70" i="7"/>
  <c r="X70" i="7"/>
  <c r="Y70" i="7" s="1"/>
  <c r="AA69" i="7"/>
  <c r="Z69" i="7"/>
  <c r="X69" i="7"/>
  <c r="Y69" i="7" s="1"/>
  <c r="AA68" i="7"/>
  <c r="Z68" i="7"/>
  <c r="X68" i="7"/>
  <c r="Y68" i="7" s="1"/>
  <c r="AA67" i="7"/>
  <c r="Z67" i="7"/>
  <c r="X67" i="7"/>
  <c r="Y67" i="7" s="1"/>
  <c r="AA66" i="7"/>
  <c r="Z66" i="7"/>
  <c r="X66" i="7"/>
  <c r="Y66" i="7" s="1"/>
  <c r="AA65" i="7"/>
  <c r="Z65" i="7"/>
  <c r="X65" i="7"/>
  <c r="Y65" i="7" s="1"/>
  <c r="AA64" i="7"/>
  <c r="Z64" i="7"/>
  <c r="X64" i="7"/>
  <c r="Y64" i="7" s="1"/>
  <c r="AA63" i="7"/>
  <c r="Z63" i="7"/>
  <c r="X63" i="7"/>
  <c r="Y63" i="7" s="1"/>
  <c r="AA62" i="7"/>
  <c r="Z62" i="7"/>
  <c r="X62" i="7"/>
  <c r="Y62" i="7" s="1"/>
  <c r="AA61" i="7"/>
  <c r="Z61" i="7"/>
  <c r="X61" i="7"/>
  <c r="Y61" i="7" s="1"/>
  <c r="AA60" i="7"/>
  <c r="Z60" i="7"/>
  <c r="X60" i="7"/>
  <c r="Y60" i="7" s="1"/>
  <c r="AA59" i="7"/>
  <c r="Z59" i="7"/>
  <c r="X59" i="7"/>
  <c r="Y59" i="7" s="1"/>
  <c r="AA58" i="7"/>
  <c r="Z58" i="7"/>
  <c r="X58" i="7"/>
  <c r="Y58" i="7" s="1"/>
  <c r="AA57" i="7"/>
  <c r="Z57" i="7"/>
  <c r="X57" i="7"/>
  <c r="Y57" i="7" s="1"/>
  <c r="AA56" i="7"/>
  <c r="Z56" i="7"/>
  <c r="X56" i="7"/>
  <c r="Y56" i="7" s="1"/>
  <c r="AA55" i="7"/>
  <c r="Z55" i="7"/>
  <c r="X55" i="7"/>
  <c r="Y55" i="7" s="1"/>
  <c r="AA54" i="7"/>
  <c r="Z54" i="7"/>
  <c r="X54" i="7"/>
  <c r="Y54" i="7" s="1"/>
  <c r="AA53" i="7"/>
  <c r="Z53" i="7"/>
  <c r="X53" i="7"/>
  <c r="Y53" i="7" s="1"/>
  <c r="AA52" i="7"/>
  <c r="Z52" i="7"/>
  <c r="X52" i="7"/>
  <c r="Y52" i="7" s="1"/>
  <c r="AA51" i="7"/>
  <c r="Z51" i="7"/>
  <c r="X51" i="7"/>
  <c r="Y51" i="7" s="1"/>
  <c r="AA50" i="7"/>
  <c r="Z50" i="7"/>
  <c r="X50" i="7"/>
  <c r="Y50" i="7" s="1"/>
  <c r="AA49" i="7"/>
  <c r="Z49" i="7"/>
  <c r="X49" i="7"/>
  <c r="Y49" i="7" s="1"/>
  <c r="AA48" i="7"/>
  <c r="Z48" i="7"/>
  <c r="X48" i="7"/>
  <c r="Y48" i="7" s="1"/>
  <c r="AA47" i="7"/>
  <c r="Z47" i="7"/>
  <c r="X47" i="7"/>
  <c r="Y47" i="7" s="1"/>
  <c r="AA46" i="7"/>
  <c r="Z46" i="7"/>
  <c r="X46" i="7"/>
  <c r="Y46" i="7" s="1"/>
  <c r="AA45" i="7"/>
  <c r="Z45" i="7"/>
  <c r="X45" i="7"/>
  <c r="Y45" i="7" s="1"/>
  <c r="AA44" i="7"/>
  <c r="Z44" i="7"/>
  <c r="X44" i="7"/>
  <c r="Y44" i="7" s="1"/>
  <c r="AA43" i="7"/>
  <c r="Z43" i="7"/>
  <c r="X43" i="7"/>
  <c r="Y43" i="7" s="1"/>
  <c r="AA42" i="7"/>
  <c r="Z42" i="7"/>
  <c r="X42" i="7"/>
  <c r="Y42" i="7" s="1"/>
  <c r="AA41" i="7"/>
  <c r="Z41" i="7"/>
  <c r="X41" i="7"/>
  <c r="Y41" i="7" s="1"/>
  <c r="AA40" i="7"/>
  <c r="Z40" i="7"/>
  <c r="X40" i="7"/>
  <c r="Y40" i="7" s="1"/>
  <c r="AA39" i="7"/>
  <c r="Z39" i="7"/>
  <c r="X39" i="7"/>
  <c r="Y39" i="7" s="1"/>
  <c r="AA38" i="7"/>
  <c r="Z38" i="7"/>
  <c r="X38" i="7"/>
  <c r="Y38" i="7" s="1"/>
  <c r="AA37" i="7"/>
  <c r="Z37" i="7"/>
  <c r="X37" i="7"/>
  <c r="Y37" i="7" s="1"/>
  <c r="AA36" i="7"/>
  <c r="Z36" i="7"/>
  <c r="X36" i="7"/>
  <c r="Y36" i="7" s="1"/>
  <c r="AA35" i="7"/>
  <c r="Z35" i="7"/>
  <c r="X35" i="7"/>
  <c r="Y35" i="7" s="1"/>
  <c r="AA34" i="7"/>
  <c r="Z34" i="7"/>
  <c r="X34" i="7"/>
  <c r="Y34" i="7" s="1"/>
  <c r="AA33" i="7"/>
  <c r="Z33" i="7"/>
  <c r="X33" i="7"/>
  <c r="Y33" i="7" s="1"/>
  <c r="AA32" i="7"/>
  <c r="Z32" i="7"/>
  <c r="Y32" i="7"/>
  <c r="X32" i="7"/>
  <c r="AA31" i="7"/>
  <c r="Z31" i="7"/>
  <c r="X31" i="7"/>
  <c r="Y31" i="7" s="1"/>
  <c r="AA30" i="7"/>
  <c r="Z30" i="7"/>
  <c r="X30" i="7"/>
  <c r="Y30" i="7" s="1"/>
  <c r="AA29" i="7"/>
  <c r="Z29" i="7"/>
  <c r="X29" i="7"/>
  <c r="Y29" i="7" s="1"/>
  <c r="AA28" i="7"/>
  <c r="Z28" i="7"/>
  <c r="X28" i="7"/>
  <c r="Y28" i="7" s="1"/>
  <c r="AA27" i="7"/>
  <c r="Z27" i="7"/>
  <c r="X27" i="7"/>
  <c r="Y27" i="7" s="1"/>
  <c r="AA26" i="7"/>
  <c r="Z26" i="7"/>
  <c r="X26" i="7"/>
  <c r="Y26" i="7" s="1"/>
  <c r="AA25" i="7"/>
  <c r="Z25" i="7"/>
  <c r="X25" i="7"/>
  <c r="Y25" i="7" s="1"/>
  <c r="AA24" i="7"/>
  <c r="Z24" i="7"/>
  <c r="X24" i="7"/>
  <c r="Y24" i="7" s="1"/>
  <c r="AA23" i="7"/>
  <c r="Z23" i="7"/>
  <c r="X23" i="7"/>
  <c r="Y23" i="7" s="1"/>
  <c r="AA22" i="7"/>
  <c r="Z22" i="7"/>
  <c r="Y22" i="7"/>
  <c r="X22" i="7"/>
  <c r="AA21" i="7"/>
  <c r="Z21" i="7"/>
  <c r="X21" i="7"/>
  <c r="Y21" i="7" s="1"/>
  <c r="AA20" i="7"/>
  <c r="Z20" i="7"/>
  <c r="X20" i="7"/>
  <c r="Y20" i="7" s="1"/>
  <c r="AA19" i="7"/>
  <c r="Z19" i="7"/>
  <c r="X19" i="7"/>
  <c r="Y19" i="7" s="1"/>
  <c r="AA18" i="7"/>
  <c r="Z18" i="7"/>
  <c r="X18" i="7"/>
  <c r="Y18" i="7" s="1"/>
  <c r="AA17" i="7"/>
  <c r="Z17" i="7"/>
  <c r="X17" i="7"/>
  <c r="Y17" i="7" s="1"/>
  <c r="AA16" i="7"/>
  <c r="Z16" i="7"/>
  <c r="X16" i="7"/>
  <c r="Y16" i="7" s="1"/>
  <c r="AA15" i="7"/>
  <c r="Z15" i="7"/>
  <c r="X15" i="7"/>
  <c r="Y15" i="7" s="1"/>
  <c r="AA14" i="7"/>
  <c r="Z14" i="7"/>
  <c r="X14" i="7"/>
  <c r="Y14" i="7" s="1"/>
  <c r="AA13" i="7"/>
  <c r="Z13" i="7"/>
  <c r="X13" i="7"/>
  <c r="Y13" i="7" s="1"/>
  <c r="AA12" i="7"/>
  <c r="Z12" i="7"/>
  <c r="Y12" i="7"/>
  <c r="X12" i="7"/>
  <c r="AA11" i="7"/>
  <c r="Z11" i="7"/>
  <c r="X11" i="7"/>
  <c r="Y11" i="7" s="1"/>
  <c r="AA10" i="7"/>
  <c r="Z10" i="7"/>
  <c r="X10" i="7"/>
  <c r="Y10" i="7" s="1"/>
  <c r="AA9" i="7"/>
  <c r="Z9" i="7"/>
  <c r="X9" i="7"/>
  <c r="Y9" i="7" s="1"/>
  <c r="AA8" i="7"/>
  <c r="Z8" i="7"/>
  <c r="X8" i="7"/>
  <c r="Y8" i="7" s="1"/>
  <c r="AA7" i="7"/>
  <c r="Z7" i="7"/>
  <c r="X7" i="7"/>
  <c r="Y7" i="7" s="1"/>
  <c r="AA6" i="7"/>
  <c r="Z6" i="7"/>
  <c r="X6" i="7"/>
  <c r="Y6" i="7" s="1"/>
  <c r="AA5" i="7"/>
  <c r="Z5" i="7"/>
  <c r="X5" i="7"/>
  <c r="Y5" i="7" s="1"/>
  <c r="AA4" i="7"/>
  <c r="Z4" i="7"/>
  <c r="X4" i="7"/>
  <c r="Y4" i="7" s="1"/>
  <c r="AA3" i="7"/>
  <c r="Z3" i="7"/>
  <c r="X3" i="7"/>
  <c r="Y3" i="7" s="1"/>
  <c r="AA2" i="7"/>
  <c r="Z2" i="7"/>
  <c r="X2" i="7"/>
  <c r="Y2" i="7" s="1"/>
</calcChain>
</file>

<file path=xl/sharedStrings.xml><?xml version="1.0" encoding="utf-8"?>
<sst xmlns="http://schemas.openxmlformats.org/spreadsheetml/2006/main" count="397" uniqueCount="70">
  <si>
    <t>Comparação financeira</t>
  </si>
  <si>
    <t>Apple</t>
  </si>
  <si>
    <t>Google</t>
  </si>
  <si>
    <t>Microsoft</t>
  </si>
  <si>
    <t>Year</t>
  </si>
  <si>
    <t>Receitas (USD milhões)</t>
  </si>
  <si>
    <t>Margem líquida</t>
  </si>
  <si>
    <t>2022: a Apple apresenta cerca de 1,99 vezes as receitas da Microsoft e 1,39 vezes as da Google.</t>
  </si>
  <si>
    <t>2022: margem líquida de 36,69% na Microsoft, 25,31% na Apple e 21,20% na Google.</t>
  </si>
  <si>
    <t>2022: caixa operacional / receitas de 44,91% na Microsoft, 32,35% na Google e 30,98% na Apple.</t>
  </si>
  <si>
    <t>2022: rácio corrente de 2,38 na Google, 1,78 na Microsoft e 0,88 na Apple.</t>
  </si>
  <si>
    <t>2022: dívida / capital próprio de 2,37 na Apple, 0,30 na Microsoft e 0,06 na Google.</t>
  </si>
  <si>
    <t>Conclusões preliminares: considerar exercícios fiscais diferentes e confirmar a definição do endividamento.</t>
  </si>
  <si>
    <t>Evolução das receitas</t>
  </si>
  <si>
    <t>Milhões de USD · anos fiscais 2009–2022</t>
  </si>
  <si>
    <t>Evolução da margem líquida</t>
  </si>
  <si>
    <t>Margem de caixa operacional</t>
  </si>
  <si>
    <t>Evolução do rácio corrente</t>
  </si>
  <si>
    <t>Dívida sobre capital próprio</t>
  </si>
  <si>
    <t>Company</t>
  </si>
  <si>
    <t>Category</t>
  </si>
  <si>
    <t>Revenue</t>
  </si>
  <si>
    <t>Gross Profit</t>
  </si>
  <si>
    <t>Net Income</t>
  </si>
  <si>
    <t>Earning Per Share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</si>
  <si>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</si>
  <si>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</si>
  <si>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</si>
  <si>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</si>
  <si>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</si>
  <si>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</si>
  <si>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</si>
  <si>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</si>
  <si>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</si>
  <si>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</si>
  <si>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</si>
  <si>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</si>
  <si>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</si>
  <si>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</si>
  <si>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</si>
  <si>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Net Margin Calculated</t>
  </si>
  <si>
    <t>Margin Difference</t>
  </si>
  <si>
    <t>Gross Margin</t>
  </si>
  <si>
    <t>Operating Cash Flow Margin</t>
  </si>
  <si>
    <t>AAPL</t>
  </si>
  <si>
    <t>IT</t>
  </si>
  <si>
    <t>MSFT</t>
  </si>
  <si>
    <t>GOOG</t>
  </si>
  <si>
    <t>PYPL</t>
  </si>
  <si>
    <t>FinTech</t>
  </si>
  <si>
    <t>AIG</t>
  </si>
  <si>
    <t>Bank</t>
  </si>
  <si>
    <t>PCG</t>
  </si>
  <si>
    <t>Manufacturing</t>
  </si>
  <si>
    <t>SHLDQ</t>
  </si>
  <si>
    <t>Finance</t>
  </si>
  <si>
    <t>MCD</t>
  </si>
  <si>
    <t>FOOD</t>
  </si>
  <si>
    <t>BCS</t>
  </si>
  <si>
    <t>BANK</t>
  </si>
  <si>
    <t>NVDA</t>
  </si>
  <si>
    <t>ELEC</t>
  </si>
  <si>
    <t>INTC</t>
  </si>
  <si>
    <t>AMZN</t>
  </si>
  <si>
    <t>LOGI</t>
  </si>
  <si>
    <t>Percentagem das receitas · anos fiscais 2009 - 2022</t>
  </si>
  <si>
    <t>Ativos correntes / passivos correntes · anos fiscais 2009 - 2022</t>
  </si>
  <si>
    <t>Rácio fornecido pelo dataset · anos fiscais 2009 - 2022</t>
  </si>
  <si>
    <t>Apple, Google e Microsoft · anos fiscais 2009 - 2022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</si>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</sst>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name val="Carlito"/>
    </font>
    <font>
      <sz val="10"/>
      <color rgb="FF263448"/>
      <name val="Arial"/>
    </font>
    <font>
      <b/>
      <sz val="10"/>
      <color rgb="FF203B5B"/>
      <name val="Arial"/>
    </font>
    <font>
      <sz val="10"/>
      <color rgb="FF2352A0"/>
      <name val="Arial"/>
    </font>
    <font>
      <sz val="10"/>
      <color rgb="FF222222"/>
      <name val="Arial"/>
    </font>
    <font>
      <sz val="10"/>
      <color rgb="FF536374"/>
      <name val="Arial"/>
    </font>
    <font>
      <b/>
      <sz val="14"/>
      <color rgb="FF203B5B"/>
      <name val="Arial"/>
    </font>
    <font>
      <i/>
      <sz val="10"/>
      <color rgb="FF536374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FF7"/>
      </patternFill>
    </fill>
    <fill>
      <patternFill patternType="solid">
        <fgColor rgb="FFF5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" fontId="1" fillId="0" borderId="0" xfId="0" applyNumberFormat="1" applyFont="1"/>
    <xf numFmtId="3" fontId="1" fillId="0" borderId="0" xfId="0" applyNumberFormat="1" applyFont="1"/>
    <xf numFmtId="10" fontId="1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10" fontId="4" fillId="0" borderId="0" xfId="0" applyNumberFormat="1" applyFont="1"/>
    <xf numFmtId="164" fontId="4" fillId="0" borderId="0" xfId="0" applyNumberFormat="1" applyFont="1"/>
    <xf numFmtId="0" fontId="1" fillId="3" borderId="0" xfId="0" applyFont="1" applyFill="1"/>
    <xf numFmtId="3" fontId="1" fillId="3" borderId="0" xfId="0" applyNumberFormat="1" applyFont="1" applyFill="1"/>
    <xf numFmtId="10" fontId="1" fillId="3" borderId="0" xfId="0" applyNumberFormat="1" applyFont="1" applyFill="1"/>
    <xf numFmtId="1" fontId="1" fillId="3" borderId="0" xfId="0" applyNumberFormat="1" applyFont="1" applyFill="1"/>
    <xf numFmtId="2" fontId="1" fillId="0" borderId="0" xfId="0" applyNumberFormat="1" applyFont="1"/>
    <xf numFmtId="2" fontId="1" fillId="3" borderId="0" xfId="0" applyNumberFormat="1" applyFont="1" applyFill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Evolução das receitas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19050">
              <a:solidFill>
                <a:srgbClr val="3569C8"/>
              </a:solidFill>
              <a:prstDash val="solid"/>
            </a:ln>
          </c:spPr>
          <c:marker>
            <c:symbol val="none"/>
          </c:marker>
          <c:cat>
            <c:numRef>
              <c:f>Receitas!$A$7:$A$20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Receitas!$B$7:$B$20</c:f>
              <c:numCache>
                <c:formatCode>#,##0</c:formatCode>
                <c:ptCount val="14"/>
                <c:pt idx="0">
                  <c:v>42905</c:v>
                </c:pt>
                <c:pt idx="1">
                  <c:v>65225</c:v>
                </c:pt>
                <c:pt idx="2">
                  <c:v>108249</c:v>
                </c:pt>
                <c:pt idx="3">
                  <c:v>156508</c:v>
                </c:pt>
                <c:pt idx="4">
                  <c:v>170910</c:v>
                </c:pt>
                <c:pt idx="5">
                  <c:v>182795</c:v>
                </c:pt>
                <c:pt idx="6">
                  <c:v>233715</c:v>
                </c:pt>
                <c:pt idx="7">
                  <c:v>215639</c:v>
                </c:pt>
                <c:pt idx="8">
                  <c:v>229234</c:v>
                </c:pt>
                <c:pt idx="9">
                  <c:v>265595</c:v>
                </c:pt>
                <c:pt idx="10">
                  <c:v>260174</c:v>
                </c:pt>
                <c:pt idx="11">
                  <c:v>274515</c:v>
                </c:pt>
                <c:pt idx="12">
                  <c:v>365817</c:v>
                </c:pt>
                <c:pt idx="13">
                  <c:v>394328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C-4B4E-8A8A-7F4D4ADACF8E}"/>
            </c:ext>
          </c:extLst>
        </c:ser>
        <c:ser>
          <c:idx val="1"/>
          <c:order val="1"/>
          <c:tx>
            <c:v>Google</c:v>
          </c:tx>
          <c:spPr>
            <a:ln w="19050">
              <a:solidFill>
                <a:srgbClr val="E78A2C"/>
              </a:solidFill>
              <a:prstDash val="solid"/>
            </a:ln>
          </c:spPr>
          <c:marker>
            <c:symbol val="none"/>
          </c:marker>
          <c:cat>
            <c:numRef>
              <c:f>Receitas!$A$7:$A$20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Receitas!$C$7:$C$20</c:f>
              <c:numCache>
                <c:formatCode>#,##0</c:formatCode>
                <c:ptCount val="14"/>
                <c:pt idx="0">
                  <c:v>23651</c:v>
                </c:pt>
                <c:pt idx="1">
                  <c:v>29321</c:v>
                </c:pt>
                <c:pt idx="2">
                  <c:v>37905</c:v>
                </c:pt>
                <c:pt idx="3">
                  <c:v>46039</c:v>
                </c:pt>
                <c:pt idx="4">
                  <c:v>55519</c:v>
                </c:pt>
                <c:pt idx="5">
                  <c:v>66001</c:v>
                </c:pt>
                <c:pt idx="6">
                  <c:v>74989</c:v>
                </c:pt>
                <c:pt idx="7">
                  <c:v>90272</c:v>
                </c:pt>
                <c:pt idx="8">
                  <c:v>110855</c:v>
                </c:pt>
                <c:pt idx="9">
                  <c:v>136819</c:v>
                </c:pt>
                <c:pt idx="10">
                  <c:v>161857</c:v>
                </c:pt>
                <c:pt idx="11">
                  <c:v>182527</c:v>
                </c:pt>
                <c:pt idx="12">
                  <c:v>257637</c:v>
                </c:pt>
                <c:pt idx="13">
                  <c:v>282836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C-4B4E-8A8A-7F4D4ADACF8E}"/>
            </c:ext>
          </c:extLst>
        </c:ser>
        <c:ser>
          <c:idx val="2"/>
          <c:order val="2"/>
          <c:tx>
            <c:v>Microsoft</c:v>
          </c:tx>
          <c:spPr>
            <a:ln w="19050">
              <a:solidFill>
                <a:srgbClr val="778594"/>
              </a:solidFill>
              <a:prstDash val="solid"/>
            </a:ln>
          </c:spPr>
          <c:marker>
            <c:symbol val="none"/>
          </c:marker>
          <c:cat>
            <c:numRef>
              <c:f>Receitas!$A$7:$A$20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Receitas!$D$7:$D$20</c:f>
              <c:numCache>
                <c:formatCode>#,##0</c:formatCode>
                <c:ptCount val="14"/>
                <c:pt idx="0">
                  <c:v>58437</c:v>
                </c:pt>
                <c:pt idx="1">
                  <c:v>62484</c:v>
                </c:pt>
                <c:pt idx="2">
                  <c:v>69943</c:v>
                </c:pt>
                <c:pt idx="3">
                  <c:v>73723</c:v>
                </c:pt>
                <c:pt idx="4">
                  <c:v>77849</c:v>
                </c:pt>
                <c:pt idx="5">
                  <c:v>86833</c:v>
                </c:pt>
                <c:pt idx="6">
                  <c:v>93580</c:v>
                </c:pt>
                <c:pt idx="7">
                  <c:v>91154</c:v>
                </c:pt>
                <c:pt idx="8">
                  <c:v>96571</c:v>
                </c:pt>
                <c:pt idx="9">
                  <c:v>110360</c:v>
                </c:pt>
                <c:pt idx="10">
                  <c:v>125843</c:v>
                </c:pt>
                <c:pt idx="11">
                  <c:v>143015</c:v>
                </c:pt>
                <c:pt idx="12">
                  <c:v>168088</c:v>
                </c:pt>
                <c:pt idx="13">
                  <c:v>198270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5C-4B4E-8A8A-7F4D4ADAC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Evolução da margem líquida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19050">
              <a:solidFill>
                <a:srgbClr val="3569C8"/>
              </a:solidFill>
              <a:prstDash val="solid"/>
            </a:ln>
          </c:spPr>
          <c:marker>
            <c:symbol val="none"/>
          </c:marker>
          <c:cat>
            <c:numRef>
              <c:f>Rentabilidade!$A$7:$A$20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Rentabilidade!$B$7:$B$20</c:f>
              <c:numCache>
                <c:formatCode>0.00%</c:formatCode>
                <c:ptCount val="14"/>
                <c:pt idx="0">
                  <c:v>0.19193567183311969</c:v>
                </c:pt>
                <c:pt idx="1">
                  <c:v>0.21484093522422384</c:v>
                </c:pt>
                <c:pt idx="2">
                  <c:v>0.2394664153941376</c:v>
                </c:pt>
                <c:pt idx="3">
                  <c:v>0.26665090602397323</c:v>
                </c:pt>
                <c:pt idx="4">
                  <c:v>0.21670469837926393</c:v>
                </c:pt>
                <c:pt idx="5">
                  <c:v>0.21614376760852322</c:v>
                </c:pt>
                <c:pt idx="6">
                  <c:v>0.22845773698735639</c:v>
                </c:pt>
                <c:pt idx="7">
                  <c:v>0.211867983064288</c:v>
                </c:pt>
                <c:pt idx="8">
                  <c:v>0.21092420845075338</c:v>
                </c:pt>
                <c:pt idx="9">
                  <c:v>0.22414202074587247</c:v>
                </c:pt>
                <c:pt idx="10">
                  <c:v>0.21238094505984456</c:v>
                </c:pt>
                <c:pt idx="11">
                  <c:v>0.20913611278072236</c:v>
                </c:pt>
                <c:pt idx="12">
                  <c:v>0.25881793355694238</c:v>
                </c:pt>
                <c:pt idx="13">
                  <c:v>0.25309640705199732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E-4EDC-AC4A-1EB31785F7C2}"/>
            </c:ext>
          </c:extLst>
        </c:ser>
        <c:ser>
          <c:idx val="1"/>
          <c:order val="1"/>
          <c:tx>
            <c:v>Google</c:v>
          </c:tx>
          <c:spPr>
            <a:ln w="19050">
              <a:solidFill>
                <a:srgbClr val="E78A2C"/>
              </a:solidFill>
              <a:prstDash val="solid"/>
            </a:ln>
          </c:spPr>
          <c:marker>
            <c:symbol val="none"/>
          </c:marker>
          <c:cat>
            <c:numRef>
              <c:f>Rentabilidade!$A$7:$A$20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Rentabilidade!$C$7:$C$20</c:f>
              <c:numCache>
                <c:formatCode>0.00%</c:formatCode>
                <c:ptCount val="14"/>
                <c:pt idx="0">
                  <c:v>0.2756754471269714</c:v>
                </c:pt>
                <c:pt idx="1">
                  <c:v>0.29006514102520375</c:v>
                </c:pt>
                <c:pt idx="2">
                  <c:v>0.25687903970452447</c:v>
                </c:pt>
                <c:pt idx="3">
                  <c:v>0.23321531744825039</c:v>
                </c:pt>
                <c:pt idx="4">
                  <c:v>0.22934490895008916</c:v>
                </c:pt>
                <c:pt idx="5">
                  <c:v>0.21417857305192345</c:v>
                </c:pt>
                <c:pt idx="6">
                  <c:v>0.21104428649535265</c:v>
                </c:pt>
                <c:pt idx="7">
                  <c:v>0.2157701169797944</c:v>
                </c:pt>
                <c:pt idx="8">
                  <c:v>0.11422128005051645</c:v>
                </c:pt>
                <c:pt idx="9">
                  <c:v>0.22464716157843576</c:v>
                </c:pt>
                <c:pt idx="10">
                  <c:v>0.21218112284300339</c:v>
                </c:pt>
                <c:pt idx="11">
                  <c:v>0.22061941520980458</c:v>
                </c:pt>
                <c:pt idx="12">
                  <c:v>0.29511677282377918</c:v>
                </c:pt>
                <c:pt idx="13">
                  <c:v>0.21203807153261961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E-4EDC-AC4A-1EB31785F7C2}"/>
            </c:ext>
          </c:extLst>
        </c:ser>
        <c:ser>
          <c:idx val="2"/>
          <c:order val="2"/>
          <c:tx>
            <c:v>Microsoft</c:v>
          </c:tx>
          <c:spPr>
            <a:ln w="19050">
              <a:solidFill>
                <a:srgbClr val="778594"/>
              </a:solidFill>
              <a:prstDash val="solid"/>
            </a:ln>
          </c:spPr>
          <c:marker>
            <c:symbol val="none"/>
          </c:marker>
          <c:cat>
            <c:numRef>
              <c:f>Rentabilidade!$A$7:$A$20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Rentabilidade!$D$7:$D$20</c:f>
              <c:numCache>
                <c:formatCode>0.00%</c:formatCode>
                <c:ptCount val="14"/>
                <c:pt idx="0">
                  <c:v>0.24931122405325393</c:v>
                </c:pt>
                <c:pt idx="1">
                  <c:v>0.30023686063632288</c:v>
                </c:pt>
                <c:pt idx="2">
                  <c:v>0.3309838010951775</c:v>
                </c:pt>
                <c:pt idx="3">
                  <c:v>0.23029448069123612</c:v>
                </c:pt>
                <c:pt idx="4">
                  <c:v>0.28083854641678119</c:v>
                </c:pt>
                <c:pt idx="5">
                  <c:v>0.25421210829983992</c:v>
                </c:pt>
                <c:pt idx="6">
                  <c:v>0.13029493481513144</c:v>
                </c:pt>
                <c:pt idx="7">
                  <c:v>0.22532198257893235</c:v>
                </c:pt>
                <c:pt idx="8">
                  <c:v>0.26394052044609667</c:v>
                </c:pt>
                <c:pt idx="9">
                  <c:v>0.15015404131931859</c:v>
                </c:pt>
                <c:pt idx="10">
                  <c:v>0.31181710544090652</c:v>
                </c:pt>
                <c:pt idx="11">
                  <c:v>0.30962486452470023</c:v>
                </c:pt>
                <c:pt idx="12">
                  <c:v>0.36451739564989766</c:v>
                </c:pt>
                <c:pt idx="13">
                  <c:v>0.36686336813436221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7E-4EDC-AC4A-1EB31785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Margem de caixa operacional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19050">
              <a:solidFill>
                <a:srgbClr val="3569C8"/>
              </a:solidFill>
              <a:prstDash val="solid"/>
            </a:ln>
          </c:spPr>
          <c:marker>
            <c:symbol val="none"/>
          </c:marker>
          <c:cat>
            <c:numRef>
              <c:f>'Caixa operacional'!$A$7:$A$20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'Caixa operacional'!$B$7:$B$20</c:f>
              <c:numCache>
                <c:formatCode>0.00%</c:formatCode>
                <c:ptCount val="14"/>
                <c:pt idx="0">
                  <c:v>0.23677893019461602</c:v>
                </c:pt>
                <c:pt idx="1">
                  <c:v>0.28509007282483712</c:v>
                </c:pt>
                <c:pt idx="2">
                  <c:v>0.3466914244011492</c:v>
                </c:pt>
                <c:pt idx="3">
                  <c:v>0.32494185600736064</c:v>
                </c:pt>
                <c:pt idx="4">
                  <c:v>0.31400152126850389</c:v>
                </c:pt>
                <c:pt idx="5">
                  <c:v>0.32666648431302825</c:v>
                </c:pt>
                <c:pt idx="6">
                  <c:v>0.34771409622831229</c:v>
                </c:pt>
                <c:pt idx="7">
                  <c:v>0.30713831913522138</c:v>
                </c:pt>
                <c:pt idx="8">
                  <c:v>0.28017222576057654</c:v>
                </c:pt>
                <c:pt idx="9">
                  <c:v>0.29154916319960844</c:v>
                </c:pt>
                <c:pt idx="10">
                  <c:v>0.2667099710193947</c:v>
                </c:pt>
                <c:pt idx="11">
                  <c:v>0.29387829444656938</c:v>
                </c:pt>
                <c:pt idx="12">
                  <c:v>0.28439903011615097</c:v>
                </c:pt>
                <c:pt idx="13">
                  <c:v>0.30977003915522106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4-41D2-AF75-005B37E6100D}"/>
            </c:ext>
          </c:extLst>
        </c:ser>
        <c:ser>
          <c:idx val="1"/>
          <c:order val="1"/>
          <c:tx>
            <c:v>Google</c:v>
          </c:tx>
          <c:spPr>
            <a:ln w="19050">
              <a:solidFill>
                <a:srgbClr val="E78A2C"/>
              </a:solidFill>
              <a:prstDash val="solid"/>
            </a:ln>
          </c:spPr>
          <c:marker>
            <c:symbol val="none"/>
          </c:marker>
          <c:cat>
            <c:numRef>
              <c:f>'Caixa operacional'!$A$7:$A$20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'Caixa operacional'!$C$7:$C$20</c:f>
              <c:numCache>
                <c:formatCode>0.00%</c:formatCode>
                <c:ptCount val="14"/>
                <c:pt idx="0">
                  <c:v>0.3938945499133229</c:v>
                </c:pt>
                <c:pt idx="1">
                  <c:v>0.37792026192831074</c:v>
                </c:pt>
                <c:pt idx="2">
                  <c:v>0.38425009893153939</c:v>
                </c:pt>
                <c:pt idx="3">
                  <c:v>0.36097656334846545</c:v>
                </c:pt>
                <c:pt idx="4">
                  <c:v>0.33608314270790179</c:v>
                </c:pt>
                <c:pt idx="5">
                  <c:v>0.34884319934546448</c:v>
                </c:pt>
                <c:pt idx="6">
                  <c:v>0.35434530397791675</c:v>
                </c:pt>
                <c:pt idx="7">
                  <c:v>0.39919354838709675</c:v>
                </c:pt>
                <c:pt idx="8">
                  <c:v>0.3345902304812593</c:v>
                </c:pt>
                <c:pt idx="9">
                  <c:v>0.35061650794114851</c:v>
                </c:pt>
                <c:pt idx="10">
                  <c:v>0.33684054443119543</c:v>
                </c:pt>
                <c:pt idx="11">
                  <c:v>0.35679105009121936</c:v>
                </c:pt>
                <c:pt idx="12">
                  <c:v>0.35574082915109245</c:v>
                </c:pt>
                <c:pt idx="13">
                  <c:v>0.32349135187882733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D4-41D2-AF75-005B37E6100D}"/>
            </c:ext>
          </c:extLst>
        </c:ser>
        <c:ser>
          <c:idx val="2"/>
          <c:order val="2"/>
          <c:tx>
            <c:v>Microsoft</c:v>
          </c:tx>
          <c:spPr>
            <a:ln w="19050">
              <a:solidFill>
                <a:srgbClr val="778594"/>
              </a:solidFill>
              <a:prstDash val="solid"/>
            </a:ln>
          </c:spPr>
          <c:marker>
            <c:symbol val="none"/>
          </c:marker>
          <c:cat>
            <c:numRef>
              <c:f>'Caixa operacional'!$A$7:$A$20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'Caixa operacional'!$D$7:$D$20</c:f>
              <c:numCache>
                <c:formatCode>0.00%</c:formatCode>
                <c:ptCount val="14"/>
                <c:pt idx="0">
                  <c:v>0.325769632253538</c:v>
                </c:pt>
                <c:pt idx="1">
                  <c:v>0.38526662825683378</c:v>
                </c:pt>
                <c:pt idx="2">
                  <c:v>0.38594283916903765</c:v>
                </c:pt>
                <c:pt idx="3">
                  <c:v>0.42898417047597087</c:v>
                </c:pt>
                <c:pt idx="4">
                  <c:v>0.37037084612519106</c:v>
                </c:pt>
                <c:pt idx="5">
                  <c:v>0.37430469982610298</c:v>
                </c:pt>
                <c:pt idx="6">
                  <c:v>0.31703355417824319</c:v>
                </c:pt>
                <c:pt idx="7">
                  <c:v>0.36559010026987299</c:v>
                </c:pt>
                <c:pt idx="8">
                  <c:v>0.40909796936968656</c:v>
                </c:pt>
                <c:pt idx="9">
                  <c:v>0.39764407393983325</c:v>
                </c:pt>
                <c:pt idx="10">
                  <c:v>0.41468337531686306</c:v>
                </c:pt>
                <c:pt idx="11">
                  <c:v>0.42425619690242283</c:v>
                </c:pt>
                <c:pt idx="12">
                  <c:v>0.4565465708438437</c:v>
                </c:pt>
                <c:pt idx="13">
                  <c:v>0.44905936349422504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D4-41D2-AF75-005B37E61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Evolução do rácio corrente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19050">
              <a:solidFill>
                <a:srgbClr val="3569C8"/>
              </a:solidFill>
              <a:prstDash val="solid"/>
            </a:ln>
          </c:spPr>
          <c:marker>
            <c:symbol val="none"/>
          </c:marker>
          <c:cat>
            <c:numRef>
              <c:f>Liquidez!$A$7:$A$20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Liquidez!$B$7:$B$20</c:f>
              <c:numCache>
                <c:formatCode>0.00</c:formatCode>
                <c:ptCount val="14"/>
                <c:pt idx="0">
                  <c:v>2.7425000000000002</c:v>
                </c:pt>
                <c:pt idx="1">
                  <c:v>2.0112999999999999</c:v>
                </c:pt>
                <c:pt idx="2">
                  <c:v>1.6084000000000001</c:v>
                </c:pt>
                <c:pt idx="3">
                  <c:v>1.4958</c:v>
                </c:pt>
                <c:pt idx="4">
                  <c:v>1.6786000000000001</c:v>
                </c:pt>
                <c:pt idx="5">
                  <c:v>1.0801000000000001</c:v>
                </c:pt>
                <c:pt idx="6">
                  <c:v>1.1088</c:v>
                </c:pt>
                <c:pt idx="7">
                  <c:v>1.3527</c:v>
                </c:pt>
                <c:pt idx="8">
                  <c:v>1.2761</c:v>
                </c:pt>
                <c:pt idx="9">
                  <c:v>1.1329</c:v>
                </c:pt>
                <c:pt idx="10">
                  <c:v>1.5401</c:v>
                </c:pt>
                <c:pt idx="11">
                  <c:v>1.3635999999999999</c:v>
                </c:pt>
                <c:pt idx="12">
                  <c:v>1.0746</c:v>
                </c:pt>
                <c:pt idx="13">
                  <c:v>0.87939999999999996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0-4BA1-B5F0-D99E64C55044}"/>
            </c:ext>
          </c:extLst>
        </c:ser>
        <c:ser>
          <c:idx val="1"/>
          <c:order val="1"/>
          <c:tx>
            <c:v>Google</c:v>
          </c:tx>
          <c:spPr>
            <a:ln w="19050">
              <a:solidFill>
                <a:srgbClr val="E78A2C"/>
              </a:solidFill>
              <a:prstDash val="solid"/>
            </a:ln>
          </c:spPr>
          <c:marker>
            <c:symbol val="none"/>
          </c:marker>
          <c:cat>
            <c:numRef>
              <c:f>Liquidez!$A$7:$A$20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Liquidez!$C$7:$C$20</c:f>
              <c:numCache>
                <c:formatCode>0.00</c:formatCode>
                <c:ptCount val="14"/>
                <c:pt idx="0">
                  <c:v>10.617800000000001</c:v>
                </c:pt>
                <c:pt idx="1">
                  <c:v>4.1578999999999997</c:v>
                </c:pt>
                <c:pt idx="2">
                  <c:v>5.9192</c:v>
                </c:pt>
                <c:pt idx="3">
                  <c:v>4.2165999999999997</c:v>
                </c:pt>
                <c:pt idx="4">
                  <c:v>4.5816999999999997</c:v>
                </c:pt>
                <c:pt idx="5">
                  <c:v>4.6878000000000002</c:v>
                </c:pt>
                <c:pt idx="6">
                  <c:v>4.6666999999999996</c:v>
                </c:pt>
                <c:pt idx="7">
                  <c:v>6.2907999999999999</c:v>
                </c:pt>
                <c:pt idx="8">
                  <c:v>5.1402999999999999</c:v>
                </c:pt>
                <c:pt idx="9">
                  <c:v>3.919</c:v>
                </c:pt>
                <c:pt idx="10">
                  <c:v>3.3740999999999999</c:v>
                </c:pt>
                <c:pt idx="11">
                  <c:v>3.0668000000000002</c:v>
                </c:pt>
                <c:pt idx="12">
                  <c:v>2.9281000000000001</c:v>
                </c:pt>
                <c:pt idx="13">
                  <c:v>2.3780000000000001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0-4BA1-B5F0-D99E64C55044}"/>
            </c:ext>
          </c:extLst>
        </c:ser>
        <c:ser>
          <c:idx val="2"/>
          <c:order val="2"/>
          <c:tx>
            <c:v>Microsoft</c:v>
          </c:tx>
          <c:spPr>
            <a:ln w="19050">
              <a:solidFill>
                <a:srgbClr val="778594"/>
              </a:solidFill>
              <a:prstDash val="solid"/>
            </a:ln>
          </c:spPr>
          <c:marker>
            <c:symbol val="none"/>
          </c:marker>
          <c:cat>
            <c:numRef>
              <c:f>Liquidez!$A$7:$A$20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Liquidez!$D$7:$D$20</c:f>
              <c:numCache>
                <c:formatCode>0.00</c:formatCode>
                <c:ptCount val="14"/>
                <c:pt idx="0">
                  <c:v>1.8229</c:v>
                </c:pt>
                <c:pt idx="1">
                  <c:v>2.1293000000000002</c:v>
                </c:pt>
                <c:pt idx="2">
                  <c:v>2.6036999999999999</c:v>
                </c:pt>
                <c:pt idx="3">
                  <c:v>2.6029</c:v>
                </c:pt>
                <c:pt idx="4">
                  <c:v>2.7118000000000002</c:v>
                </c:pt>
                <c:pt idx="5">
                  <c:v>2.504</c:v>
                </c:pt>
                <c:pt idx="6">
                  <c:v>2.4733999999999998</c:v>
                </c:pt>
                <c:pt idx="7">
                  <c:v>2.3529</c:v>
                </c:pt>
                <c:pt idx="8">
                  <c:v>2.9186000000000001</c:v>
                </c:pt>
                <c:pt idx="9">
                  <c:v>2.9007999999999998</c:v>
                </c:pt>
                <c:pt idx="10">
                  <c:v>2.5287999999999999</c:v>
                </c:pt>
                <c:pt idx="11">
                  <c:v>2.5158</c:v>
                </c:pt>
                <c:pt idx="12">
                  <c:v>2.08</c:v>
                </c:pt>
                <c:pt idx="13">
                  <c:v>1.7846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A0-4BA1-B5F0-D99E64C55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Dívida sobre capital próprio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Apple</c:v>
          </c:tx>
          <c:spPr>
            <a:ln w="19050">
              <a:solidFill>
                <a:srgbClr val="3569C8"/>
              </a:solidFill>
              <a:prstDash val="solid"/>
            </a:ln>
          </c:spPr>
          <c:marker>
            <c:symbol val="none"/>
          </c:marker>
          <c:cat>
            <c:numRef>
              <c:f>Endividamento!$A$7:$A$20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Endividamento!$B$7:$B$20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0.13730000000000001</c:v>
                </c:pt>
                <c:pt idx="5">
                  <c:v>0.31640000000000001</c:v>
                </c:pt>
                <c:pt idx="6">
                  <c:v>0.53900000000000003</c:v>
                </c:pt>
                <c:pt idx="7">
                  <c:v>0.67859999999999998</c:v>
                </c:pt>
                <c:pt idx="8">
                  <c:v>0.86299999999999999</c:v>
                </c:pt>
                <c:pt idx="9">
                  <c:v>1.0685</c:v>
                </c:pt>
                <c:pt idx="10">
                  <c:v>1.194</c:v>
                </c:pt>
                <c:pt idx="11">
                  <c:v>1.7208000000000001</c:v>
                </c:pt>
                <c:pt idx="12">
                  <c:v>1.9767999999999999</c:v>
                </c:pt>
                <c:pt idx="13">
                  <c:v>2.3694999999999999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C-4F6D-B36F-59284185F347}"/>
            </c:ext>
          </c:extLst>
        </c:ser>
        <c:ser>
          <c:idx val="1"/>
          <c:order val="1"/>
          <c:tx>
            <c:v>Google</c:v>
          </c:tx>
          <c:spPr>
            <a:ln w="19050">
              <a:solidFill>
                <a:srgbClr val="E78A2C"/>
              </a:solidFill>
              <a:prstDash val="solid"/>
            </a:ln>
          </c:spPr>
          <c:marker>
            <c:symbol val="none"/>
          </c:marker>
          <c:cat>
            <c:numRef>
              <c:f>Endividamento!$A$7:$A$20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Endividamento!$C$7:$C$20</c:f>
              <c:numCache>
                <c:formatCode>0.00</c:formatCode>
                <c:ptCount val="14"/>
                <c:pt idx="0">
                  <c:v>0</c:v>
                </c:pt>
                <c:pt idx="1">
                  <c:v>7.4899999999999994E-2</c:v>
                </c:pt>
                <c:pt idx="2">
                  <c:v>7.2300000000000003E-2</c:v>
                </c:pt>
                <c:pt idx="3">
                  <c:v>7.7200000000000005E-2</c:v>
                </c:pt>
                <c:pt idx="4">
                  <c:v>6.0100000000000001E-2</c:v>
                </c:pt>
                <c:pt idx="5">
                  <c:v>5.04E-2</c:v>
                </c:pt>
                <c:pt idx="6">
                  <c:v>4.3400000000000001E-2</c:v>
                </c:pt>
                <c:pt idx="7">
                  <c:v>2.8299999999999999E-2</c:v>
                </c:pt>
                <c:pt idx="8">
                  <c:v>2.5999999999999999E-2</c:v>
                </c:pt>
                <c:pt idx="9">
                  <c:v>2.2599999999999999E-2</c:v>
                </c:pt>
                <c:pt idx="10">
                  <c:v>2.2599999999999999E-2</c:v>
                </c:pt>
                <c:pt idx="11">
                  <c:v>6.2600000000000003E-2</c:v>
                </c:pt>
                <c:pt idx="12">
                  <c:v>5.8900000000000001E-2</c:v>
                </c:pt>
                <c:pt idx="13">
                  <c:v>5.74E-2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C-4F6D-B36F-59284185F347}"/>
            </c:ext>
          </c:extLst>
        </c:ser>
        <c:ser>
          <c:idx val="2"/>
          <c:order val="2"/>
          <c:tx>
            <c:v>Microsoft</c:v>
          </c:tx>
          <c:spPr>
            <a:ln w="19050">
              <a:solidFill>
                <a:srgbClr val="778594"/>
              </a:solidFill>
              <a:prstDash val="solid"/>
            </a:ln>
          </c:spPr>
          <c:marker>
            <c:symbol val="none"/>
          </c:marker>
          <c:cat>
            <c:numRef>
              <c:f>Endividamento!$A$7:$A$20</c:f>
              <c:numCache>
                <c:formatCode>0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Endividamento!$D$7:$D$20</c:f>
              <c:numCache>
                <c:formatCode>0.00</c:formatCode>
                <c:ptCount val="14"/>
                <c:pt idx="0">
                  <c:v>0.14530000000000001</c:v>
                </c:pt>
                <c:pt idx="1">
                  <c:v>0.12859999999999999</c:v>
                </c:pt>
                <c:pt idx="2">
                  <c:v>0.20880000000000001</c:v>
                </c:pt>
                <c:pt idx="3">
                  <c:v>0.18</c:v>
                </c:pt>
                <c:pt idx="4">
                  <c:v>0.1976</c:v>
                </c:pt>
                <c:pt idx="5">
                  <c:v>0.25219999999999998</c:v>
                </c:pt>
                <c:pt idx="6">
                  <c:v>0.44069999999999998</c:v>
                </c:pt>
                <c:pt idx="7">
                  <c:v>0.74250000000000005</c:v>
                </c:pt>
                <c:pt idx="8">
                  <c:v>0.98270000000000002</c:v>
                </c:pt>
                <c:pt idx="9">
                  <c:v>0.92169999999999996</c:v>
                </c:pt>
                <c:pt idx="10">
                  <c:v>0.70530000000000004</c:v>
                </c:pt>
                <c:pt idx="11">
                  <c:v>0.5353</c:v>
                </c:pt>
                <c:pt idx="12">
                  <c:v>0.40949999999999998</c:v>
                </c:pt>
                <c:pt idx="13">
                  <c:v>0.2989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FC-4F6D-B36F-59284185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Date="0" createdVersion="6" refreshedVersion="6" minRefreshableVersion="3" recordCount="161" xr:uid="{00000000-000A-0000-FFFF-FFFF01000000}">
  <cacheSource type="worksheet">
    <worksheetSource name="tblFinancials"/>
  </cacheSource>
  <cacheFields count="27">
    <cacheField name="Year" numFmtId="0">
      <sharedItems containsSemiMixedTypes="0" containsString="0" containsNumber="1" containsInteger="1" minValue="2009" maxValue="2023" count="15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Company" numFmtId="0">
      <sharedItems count="12">
        <s v="AAPL"/>
        <s v="AIG"/>
        <s v="AMZN"/>
        <s v="BCS"/>
        <s v="GOOG"/>
        <s v="INTC"/>
        <s v="MCD"/>
        <s v="MSFT"/>
        <s v="NVDA"/>
        <s v="PCG"/>
        <s v="PYPL"/>
        <s v="SHLDQ"/>
      </sharedItems>
    </cacheField>
    <cacheField name="Category" numFmtId="0">
      <sharedItems count="8">
        <s v="IT"/>
        <s v="FinTech"/>
        <s v="Bank"/>
        <s v="Manufacturing"/>
        <s v="Finance"/>
        <s v="FOOD"/>
        <s v="ELEC"/>
        <s v="LOGI"/>
      </sharedItems>
    </cacheField>
    <cacheField name="Market Cap(in B USD)" numFmtId="0">
      <sharedItems containsString="0" containsBlank="1" containsNumber="1" minValue="0.04" maxValue="2913.28" count="161">
        <n v="2066.94"/>
        <n v="2913.28"/>
        <n v="2255.9699999999998"/>
        <n v="1304.76"/>
        <n v="748.54"/>
        <n v="868.87"/>
        <n v="617.59"/>
        <n v="586.86"/>
        <n v="647.36"/>
        <n v="504.79"/>
        <n v="500.61"/>
        <n v="376.4"/>
        <n v="296.89"/>
        <n v="189.8"/>
        <n v="2451.23"/>
        <n v="1787.73"/>
        <n v="2525.08"/>
        <n v="1681.61"/>
        <n v="1203.06"/>
        <n v="779.67"/>
        <n v="659.91"/>
        <n v="483.16"/>
        <n v="443.17"/>
        <n v="382.88"/>
        <n v="312.3"/>
        <n v="224.8"/>
        <n v="218.38"/>
        <n v="238.78"/>
        <n v="270.64"/>
        <n v="1144.3499999999999"/>
        <n v="1910.26"/>
        <n v="1179.4000000000001"/>
        <n v="917.82"/>
        <n v="719.63"/>
        <n v="726.47"/>
        <n v="530.84"/>
        <n v="521.66999999999996"/>
        <n v="354.75"/>
        <n v="371.53"/>
        <n v="230.54"/>
        <n v="207.65"/>
        <n v="188.54"/>
        <n v="195.27"/>
        <n v="81.19"/>
        <n v="221.57"/>
        <n v="274.41000000000003"/>
        <n v="127.01"/>
        <n v="99.09"/>
        <n v="88.48"/>
        <n v="47.63"/>
        <n v="44.23"/>
        <m/>
        <n v="46.99"/>
        <n v="47.21"/>
        <n v="32.619999999999997"/>
        <n v="44.65"/>
        <n v="34.86"/>
        <n v="53.56"/>
        <n v="67.08"/>
        <n v="76.66"/>
        <n v="78.41"/>
        <n v="75.16"/>
        <n v="52.11"/>
        <n v="44.06"/>
        <n v="7.79"/>
        <n v="4.04"/>
        <n v="41.28"/>
        <n v="32.200000000000003"/>
        <n v="24.1"/>
        <n v="24.73"/>
        <n v="5.75"/>
        <n v="12.32"/>
        <n v="23.06"/>
        <n v="30.73"/>
        <n v="26.09"/>
        <n v="25.29"/>
        <n v="18.100000000000001"/>
        <n v="17.14"/>
        <n v="16.73"/>
        <n v="18.760000000000002"/>
        <n v="0.04"/>
        <n v="0.37"/>
        <n v="1.1100000000000001"/>
        <n v="2.19"/>
        <n v="3.51"/>
        <n v="4.9000000000000004"/>
        <n v="4.47"/>
        <n v="3.39"/>
        <n v="8.2200000000000006"/>
        <n v="8.98"/>
        <n v="186.39"/>
        <n v="193.02"/>
        <n v="200.31"/>
        <n v="159.88999999999999"/>
        <n v="148.82"/>
        <n v="136.88999999999999"/>
        <n v="137.21"/>
        <n v="101.08"/>
        <n v="108.48"/>
        <n v="91.19"/>
        <n v="96.55"/>
        <n v="88.56"/>
        <n v="102.66"/>
        <n v="81.099999999999994"/>
        <n v="32.53"/>
        <n v="43.6"/>
        <n v="34.659999999999997"/>
        <n v="40.78"/>
        <n v="31.68"/>
        <n v="45.79"/>
        <n v="46.21"/>
        <n v="53.45"/>
        <n v="60.47"/>
        <n v="55.49"/>
        <n v="52.82"/>
        <n v="33.47"/>
        <n v="47.13"/>
        <n v="36.840000000000003"/>
        <n v="1000.35"/>
        <n v="359.5"/>
        <n v="735.86"/>
        <n v="323.24"/>
        <n v="144"/>
        <n v="81.44"/>
        <n v="117.26"/>
        <n v="57.53"/>
        <n v="17.73"/>
        <n v="10.9"/>
        <n v="9.11"/>
        <n v="7.66"/>
        <n v="8.4600000000000009"/>
        <n v="8.9499999999999993"/>
        <n v="10.37"/>
        <n v="109.08"/>
        <n v="209.45"/>
        <n v="104.16"/>
        <n v="260.35000000000002"/>
        <n v="214.19"/>
        <n v="216.03"/>
        <n v="171.88"/>
        <n v="162.57"/>
        <n v="175.46"/>
        <n v="129.02000000000001"/>
        <n v="102.61"/>
        <n v="123.48"/>
        <n v="117.31"/>
        <n v="112.65"/>
        <n v="856.94"/>
        <n v="1691"/>
        <n v="1634.16"/>
        <n v="916.15"/>
        <n v="734.42"/>
        <n v="563.54"/>
        <n v="356.31"/>
        <n v="316.83"/>
        <n v="143.69999999999999"/>
        <n v="182.54"/>
        <n v="113.63"/>
        <n v="78.72"/>
        <n v="80.790000000000006"/>
        <n v="58.24"/>
      </sharedItems>
    </cacheField>
    <cacheField name="Revenue" numFmtId="0">
      <sharedItems containsSemiMixedTypes="0" containsString="0" containsNumber="1" minValue="3326.4450000000002" maxValue="513983" count="161">
        <n v="394328"/>
        <n v="365817"/>
        <n v="274515"/>
        <n v="260174"/>
        <n v="265595"/>
        <n v="229234"/>
        <n v="215639"/>
        <n v="233715"/>
        <n v="182795"/>
        <n v="170910"/>
        <n v="156508"/>
        <n v="108249"/>
        <n v="65225"/>
        <n v="42905"/>
        <n v="211915"/>
        <n v="198270"/>
        <n v="168088"/>
        <n v="143015"/>
        <n v="125843"/>
        <n v="110360"/>
        <n v="96571"/>
        <n v="91154"/>
        <n v="93580"/>
        <n v="86833"/>
        <n v="77849"/>
        <n v="73723"/>
        <n v="69943"/>
        <n v="62484"/>
        <n v="58437"/>
        <n v="282836"/>
        <n v="257637"/>
        <n v="182527"/>
        <n v="161857"/>
        <n v="136819"/>
        <n v="110855"/>
        <n v="90272"/>
        <n v="74989"/>
        <n v="66001"/>
        <n v="55519"/>
        <n v="46039"/>
        <n v="37905"/>
        <n v="29321"/>
        <n v="23651"/>
        <n v="27518"/>
        <n v="25371"/>
        <n v="21454"/>
        <n v="17772"/>
        <n v="15451"/>
        <n v="13094"/>
        <n v="10842"/>
        <n v="9248"/>
        <n v="8025"/>
        <n v="56437"/>
        <n v="52057"/>
        <n v="43736"/>
        <n v="49746"/>
        <n v="47389"/>
        <n v="49520"/>
        <n v="52367"/>
        <n v="58327"/>
        <n v="64406"/>
        <n v="68874"/>
        <n v="71214"/>
        <n v="65105"/>
        <n v="72829"/>
        <n v="75447"/>
        <n v="21680"/>
        <n v="20642"/>
        <n v="18469"/>
        <n v="17129"/>
        <n v="16759"/>
        <n v="17135"/>
        <n v="17666"/>
        <n v="16833"/>
        <n v="17090"/>
        <n v="15598"/>
        <n v="15040"/>
        <n v="14956"/>
        <n v="13841"/>
        <n v="13399"/>
        <n v="16702"/>
        <n v="22138"/>
        <n v="25146"/>
        <n v="31198"/>
        <n v="36188"/>
        <n v="39854"/>
        <n v="41567"/>
        <n v="42664"/>
        <n v="43360"/>
        <n v="46770"/>
        <n v="23182.6"/>
        <n v="23222.9"/>
        <n v="19207.8"/>
        <n v="21364.400000000001"/>
        <n v="21257.9"/>
        <n v="22820.400000000001"/>
        <n v="24621.9"/>
        <n v="25413"/>
        <n v="27441.3"/>
        <n v="28105.7"/>
        <n v="27567"/>
        <n v="27006"/>
        <n v="24074.6"/>
        <n v="22744.7"/>
        <n v="30868.080000000002"/>
        <n v="30169.69"/>
        <n v="27947.54"/>
        <n v="27621.9"/>
        <n v="28212.33"/>
        <n v="27162.75"/>
        <n v="29072.54"/>
        <n v="38919.160000000003"/>
        <n v="41677.15"/>
        <n v="43712.69"/>
        <n v="46036.06"/>
        <n v="48866.82"/>
        <n v="49030.07"/>
        <n v="45992.04"/>
        <n v="26974"/>
        <n v="26914"/>
        <n v="16675"/>
        <n v="10918"/>
        <n v="11716"/>
        <n v="9714"/>
        <n v="6910"/>
        <n v="5010"/>
        <n v="4682"/>
        <n v="4130"/>
        <n v="4280.1589999999997"/>
        <n v="3997.93"/>
        <n v="3543.3090000000002"/>
        <n v="3326.4450000000002"/>
        <n v="3424.8589999999999"/>
        <n v="63054"/>
        <n v="79024"/>
        <n v="77867"/>
        <n v="71965"/>
        <n v="70848"/>
        <n v="62761"/>
        <n v="59387"/>
        <n v="55355"/>
        <n v="55870"/>
        <n v="52708"/>
        <n v="53341"/>
        <n v="53999"/>
        <n v="43623"/>
        <n v="35127"/>
        <n v="513983"/>
        <n v="469822"/>
        <n v="386064"/>
        <n v="280522"/>
        <n v="232887"/>
        <n v="177866"/>
        <n v="135987"/>
        <n v="107006"/>
        <n v="88988"/>
        <n v="74452"/>
        <n v="61093"/>
        <n v="48077"/>
        <n v="34204"/>
        <n v="24509"/>
      </sharedItems>
    </cacheField>
    <cacheField name="Gross Profit" numFmtId="0">
      <sharedItems containsSemiMixedTypes="0" containsString="0" containsNumber="1" minValue="1174.269" maxValue="225152" count="161">
        <n v="170782"/>
        <n v="152836"/>
        <n v="104956"/>
        <n v="98392"/>
        <n v="101839"/>
        <n v="88186"/>
        <n v="84263"/>
        <n v="93626"/>
        <n v="70537"/>
        <n v="64304"/>
        <n v="68662"/>
        <n v="43818"/>
        <n v="25684"/>
        <n v="17222"/>
        <n v="146052"/>
        <n v="135620"/>
        <n v="115856"/>
        <n v="96937"/>
        <n v="82933"/>
        <n v="72007"/>
        <n v="62310"/>
        <n v="58374"/>
        <n v="60542"/>
        <n v="59755"/>
        <n v="57464"/>
        <n v="56193"/>
        <n v="54366"/>
        <n v="50089"/>
        <n v="46282"/>
        <n v="156633"/>
        <n v="146698"/>
        <n v="97795"/>
        <n v="89961"/>
        <n v="77270"/>
        <n v="65272"/>
        <n v="55134"/>
        <n v="46825"/>
        <n v="40310"/>
        <n v="33526"/>
        <n v="28863"/>
        <n v="24717"/>
        <n v="18904"/>
        <n v="14807"/>
        <n v="11653"/>
        <n v="11921"/>
        <n v="10001"/>
        <n v="7987"/>
        <n v="7189"/>
        <n v="6399"/>
        <n v="5141"/>
        <n v="4719"/>
        <n v="4218"/>
        <n v="20762"/>
        <n v="15322"/>
        <n v="6912"/>
        <n v="11975"/>
        <n v="6921"/>
        <n v="6849"/>
        <n v="5236"/>
        <n v="10565"/>
        <n v="19219"/>
        <n v="21915"/>
        <n v="21825"/>
        <n v="18692"/>
        <n v="16787"/>
        <n v="18614"/>
        <n v="16824"/>
        <n v="16261"/>
        <n v="14571"/>
        <n v="13300"/>
        <n v="12260"/>
        <n v="12080"/>
        <n v="12286"/>
        <n v="11071"/>
        <n v="10521"/>
        <n v="9614"/>
        <n v="10017"/>
        <n v="9623"/>
        <n v="8652"/>
        <n v="8397"/>
        <n v="3527"/>
        <n v="4686"/>
        <n v="5810"/>
        <n v="7149"/>
        <n v="8755"/>
        <n v="10514"/>
        <n v="10601"/>
        <n v="11664"/>
        <n v="11986"/>
        <n v="12652"/>
        <n v="13207.2"/>
        <n v="12580.2"/>
        <n v="9752.1010000000006"/>
        <n v="11179.4"/>
        <n v="10832.6"/>
        <n v="10620.8"/>
        <n v="10204.700000000001"/>
        <n v="9789.2000000000007"/>
        <n v="10455.700000000001"/>
        <n v="10902.7"/>
        <n v="10816.3"/>
        <n v="10686.6"/>
        <n v="9637.2999999999993"/>
        <n v="8791.7999999999993"/>
        <n v="30868.080000000002"/>
        <n v="30169.69"/>
        <n v="27947.54"/>
        <n v="27621.9"/>
        <n v="28212.33"/>
        <n v="27162.75"/>
        <n v="29072.54"/>
        <n v="38919.160000000003"/>
        <n v="41677.15"/>
        <n v="43712.69"/>
        <n v="46036.06"/>
        <n v="48866.82"/>
        <n v="49030.07"/>
        <n v="45992.04"/>
        <n v="15356"/>
        <n v="17475"/>
        <n v="10396"/>
        <n v="6768"/>
        <n v="7171"/>
        <n v="5822"/>
        <n v="4063"/>
        <n v="2811"/>
        <n v="2599"/>
        <n v="2268"/>
        <n v="2226.3429999999998"/>
        <n v="2056.5169999999998"/>
        <n v="1409.09"/>
        <n v="1176.923"/>
        <n v="1174.269"/>
        <n v="26866"/>
        <n v="43815"/>
        <n v="43612"/>
        <n v="42140"/>
        <n v="43737"/>
        <n v="39098"/>
        <n v="36233"/>
        <n v="34679"/>
        <n v="35609"/>
        <n v="31521"/>
        <n v="33151"/>
        <n v="33757"/>
        <n v="28491"/>
        <n v="19561"/>
        <n v="225152"/>
        <n v="197478"/>
        <n v="152757"/>
        <n v="114986"/>
        <n v="93731"/>
        <n v="65932"/>
        <n v="47722"/>
        <n v="35355"/>
        <n v="26236"/>
        <n v="20271"/>
        <n v="15122"/>
        <n v="10789"/>
        <n v="7643"/>
        <n v="5531"/>
      </sharedItems>
    </cacheField>
    <cacheField name="Net Income" numFmtId="0">
      <sharedItems containsSemiMixedTypes="0" containsString="0" containsNumber="1" minValue="-12244" maxValue="99803" count="160">
        <n v="99803"/>
        <n v="94680"/>
        <n v="57411"/>
        <n v="55256"/>
        <n v="59531"/>
        <n v="48351"/>
        <n v="45687"/>
        <n v="53394"/>
        <n v="39510"/>
        <n v="37037"/>
        <n v="41733"/>
        <n v="25922"/>
        <n v="14013"/>
        <n v="8235"/>
        <n v="72361"/>
        <n v="72738"/>
        <n v="61271"/>
        <n v="44281"/>
        <n v="39240"/>
        <n v="16571"/>
        <n v="25489"/>
        <n v="20539"/>
        <n v="12193"/>
        <n v="22074"/>
        <n v="21863"/>
        <n v="16978"/>
        <n v="23150"/>
        <n v="18760"/>
        <n v="14569"/>
        <n v="59972"/>
        <n v="76033"/>
        <n v="40269"/>
        <n v="34343"/>
        <n v="30736"/>
        <n v="12662"/>
        <n v="19478"/>
        <n v="15826"/>
        <n v="14136"/>
        <n v="12733"/>
        <n v="10737"/>
        <n v="9737"/>
        <n v="8505"/>
        <n v="6520"/>
        <n v="2419"/>
        <n v="4169"/>
        <n v="4202"/>
        <n v="2459"/>
        <n v="2057"/>
        <n v="1795"/>
        <n v="1401"/>
        <n v="1228"/>
        <n v="419"/>
        <n v="10247"/>
        <n v="9359"/>
        <n v="-5973"/>
        <n v="3326"/>
        <n v="-6"/>
        <n v="-6084"/>
        <n v="-849"/>
        <n v="2196"/>
        <n v="7529"/>
        <n v="9085"/>
        <n v="3438"/>
        <n v="19810"/>
        <n v="2046"/>
        <n v="-12244"/>
        <n v="1800"/>
        <n v="-102"/>
        <n v="-1318"/>
        <n v="-7656"/>
        <n v="-6851"/>
        <n v="1646"/>
        <n v="1393"/>
        <n v="874"/>
        <n v="1436"/>
        <n v="814"/>
        <n v="816"/>
        <n v="844"/>
        <n v="1099"/>
        <n v="1220"/>
        <n v="-383"/>
        <n v="-2221"/>
        <n v="-1129"/>
        <n v="-1682"/>
        <n v="-1365"/>
        <n v="-930"/>
        <n v="-3140"/>
        <n v="133"/>
        <n v="235"/>
        <n v="53"/>
        <n v="6177.4"/>
        <n v="7545.2"/>
        <n v="4730.5"/>
        <n v="6025.4"/>
        <n v="5924.3"/>
        <n v="5192.3"/>
        <n v="4686.5"/>
        <n v="4529.3"/>
        <n v="4757.8"/>
        <n v="5585.9"/>
        <n v="5464.8"/>
        <n v="5503.1"/>
        <n v="4946.3"/>
        <n v="4551"/>
        <n v="6212.9489999999996"/>
        <n v="8766.2630000000008"/>
        <n v="1959.384"/>
        <n v="4180.5709999999999"/>
        <n v="1860.711"/>
        <n v="-2477.0729999999999"/>
        <n v="2373.13"/>
        <n v="-495.39600000000002"/>
        <n v="-197.77160000000001"/>
        <n v="846.55679999999995"/>
        <n v="-1650.0889999999999"/>
        <n v="6338.98"/>
        <n v="7034.11"/>
        <n v="5497.87"/>
        <n v="4368"/>
        <n v="9752"/>
        <n v="4332"/>
        <n v="2796"/>
        <n v="4141"/>
        <n v="3047"/>
        <n v="1666"/>
        <n v="614"/>
        <n v="631"/>
        <n v="440"/>
        <n v="562.53599999999994"/>
        <n v="581.09"/>
        <n v="253.14599999999999"/>
        <n v="-67.986999999999995"/>
        <n v="-30.041"/>
        <n v="8014"/>
        <n v="19868"/>
        <n v="20899"/>
        <n v="21048"/>
        <n v="21053"/>
        <n v="9601"/>
        <n v="10316"/>
        <n v="11420"/>
        <n v="11704"/>
        <n v="9620"/>
        <n v="11005"/>
        <n v="12942"/>
        <n v="11464"/>
        <n v="4369"/>
        <n v="-2722"/>
        <n v="33364"/>
        <n v="21331"/>
        <n v="11588"/>
        <n v="10073"/>
        <n v="3033"/>
        <n v="2371"/>
        <n v="596"/>
        <n v="-241"/>
        <n v="274"/>
        <n v="-39"/>
        <n v="1152"/>
        <n v="902"/>
      </sharedItems>
    </cacheField>
    <cacheField name="Earning Per Share" numFmtId="0">
      <sharedItems containsSemiMixedTypes="0" containsString="0" containsNumber="1" minValue="-90.48" maxValue="14.98" count="156">
        <n v="6.11"/>
        <n v="5.61"/>
        <n v="3.28"/>
        <n v="2.97"/>
        <n v="2.98"/>
        <n v="2.3025000000000002"/>
        <n v="2.0775000000000001"/>
        <n v="2.3050000000000002"/>
        <n v="1.6125"/>
        <n v="1.42"/>
        <n v="1.5774999999999999"/>
        <n v="0.98860000000000003"/>
        <n v="0.54110000000000003"/>
        <n v="0.32429999999999998"/>
        <n v="9.68"/>
        <n v="9.65"/>
        <n v="8.0500000000000007"/>
        <n v="5.76"/>
        <n v="5.0599999999999996"/>
        <n v="2.13"/>
        <n v="3.25"/>
        <n v="2.56"/>
        <n v="1.48"/>
        <n v="2.63"/>
        <n v="2.58"/>
        <n v="2"/>
        <n v="2.69"/>
        <n v="2.1"/>
        <n v="1.62"/>
        <n v="4.5599999999999996"/>
        <n v="2.93"/>
        <n v="2.4580000000000002"/>
        <n v="2.1850000000000001"/>
        <n v="0.9"/>
        <n v="1.3925000000000001"/>
        <n v="1.1419999999999999"/>
        <n v="1.0285"/>
        <n v="0.9395"/>
        <n v="0.80800000000000005"/>
        <n v="0.74399999999999999"/>
        <n v="0.65780000000000005"/>
        <n v="0.51029999999999998"/>
        <n v="2.09"/>
        <n v="3.52"/>
        <n v="3.54"/>
        <n v="2.0699999999999998"/>
        <n v="1.71"/>
        <n v="1.47"/>
        <n v="1.1499999999999999"/>
        <n v="1"/>
        <n v="0.34"/>
        <n v="13.01"/>
        <n v="10.82"/>
        <n v="-6.88"/>
        <n v="3.74"/>
        <n v="-0.01"/>
        <n v="-6.54"/>
        <n v="-0.78"/>
        <n v="1.65"/>
        <n v="5.2"/>
        <n v="6.13"/>
        <n v="2.04"/>
        <n v="11.01"/>
        <n v="14.98"/>
        <n v="-90.48"/>
        <n v="0.84"/>
        <n v="-0.05"/>
        <n v="-1.05"/>
        <n v="-14.5"/>
        <n v="-13.25"/>
        <n v="3.21"/>
        <n v="2.78"/>
        <n v="1.79"/>
        <n v="3.06"/>
        <n v="1.83"/>
        <n v="1.92"/>
        <n v="2.82"/>
        <n v="3.2"/>
        <n v="-3.57"/>
        <n v="-20.78"/>
        <n v="-10.59"/>
        <n v="-15.82"/>
        <n v="-12.87"/>
        <n v="-8.7799999999999994"/>
        <n v="-29.4"/>
        <n v="1.19"/>
        <n v="1.99"/>
        <n v="0.42"/>
        <n v="8.33"/>
        <n v="10.039999999999999"/>
        <n v="6.31"/>
        <n v="7.88"/>
        <n v="7.54"/>
        <n v="6.37"/>
        <n v="5.44"/>
        <n v="4.8"/>
        <n v="4.82"/>
        <n v="5.55"/>
        <n v="5.36"/>
        <n v="5.27"/>
        <n v="4.58"/>
        <n v="4.1100000000000003"/>
        <n v="1.4743999999999999"/>
        <n v="2.0131000000000001"/>
        <n v="0.44159999999999999"/>
        <n v="0.72"/>
        <n v="0.49120000000000003"/>
        <n v="-0.57299999999999995"/>
        <n v="0.55840000000000001"/>
        <n v="-0.1162"/>
        <n v="-4.5999999999999999E-2"/>
        <n v="0.23200000000000001"/>
        <n v="-0.53900000000000003"/>
        <n v="1.54"/>
        <n v="1.84"/>
        <n v="5.12"/>
        <n v="1.74"/>
        <n v="3.85"/>
        <n v="1.73"/>
        <n v="1.1299999999999999"/>
        <n v="1.6575"/>
        <n v="1.2050000000000001"/>
        <n v="0.64249999999999996"/>
        <n v="0.27"/>
        <n v="0.28000000000000003"/>
        <n v="0.185"/>
        <n v="0.22500000000000001"/>
        <n v="0.23499999999999999"/>
        <n v="0.1075"/>
        <n v="-0.03"/>
        <n v="-1.2500000000000001E-2"/>
        <n v="1.94"/>
        <n v="4.8600000000000003"/>
        <n v="4.9400000000000004"/>
        <n v="4.71"/>
        <n v="4.4800000000000004"/>
        <n v="2.12"/>
        <n v="2.33"/>
        <n v="2.31"/>
        <n v="1.89"/>
        <n v="2.39"/>
        <n v="2.0099999999999998"/>
        <n v="0.77"/>
        <n v="-0.27"/>
        <n v="3.24"/>
        <n v="1.1505000000000001"/>
        <n v="1.0069999999999999"/>
        <n v="0.3075"/>
        <n v="0.245"/>
        <n v="6.25E-2"/>
        <n v="-2.5999999999999999E-2"/>
        <n v="2.9499999999999998E-2"/>
        <n v="-4.4999999999999997E-3"/>
        <n v="6.8500000000000005E-2"/>
        <n v="0.1265"/>
        <n v="0.10199999999999999"/>
      </sharedItems>
    </cacheField>
    <cacheField name="EBITDA" numFmtId="0">
      <sharedItems containsSemiMixedTypes="0" containsString="0" containsNumber="1" minValue="-6860" maxValue="130541" count="148">
        <n v="130541"/>
        <n v="120233"/>
        <n v="77344"/>
        <n v="76477"/>
        <n v="81801"/>
        <n v="71501"/>
        <n v="70529"/>
        <n v="82487"/>
        <n v="60449"/>
        <n v="55756"/>
        <n v="58518"/>
        <n v="35604"/>
        <n v="19412"/>
        <n v="12474"/>
        <n v="102384"/>
        <n v="97843"/>
        <n v="81602"/>
        <n v="65755"/>
        <n v="54641"/>
        <n v="45319"/>
        <n v="37803"/>
        <n v="33330"/>
        <n v="31616"/>
        <n v="32971"/>
        <n v="30519"/>
        <n v="30923"/>
        <n v="29927"/>
        <n v="26771"/>
        <n v="22925"/>
        <n v="90770"/>
        <n v="91155"/>
        <n v="54921"/>
        <n v="46012"/>
        <n v="36559"/>
        <n v="33093"/>
        <n v="29860"/>
        <n v="24423"/>
        <n v="21475"/>
        <n v="19342"/>
        <n v="16796"/>
        <n v="13593"/>
        <n v="11777"/>
        <n v="9836"/>
        <n v="5154"/>
        <n v="5527"/>
        <n v="4478"/>
        <n v="3631"/>
        <n v="2970"/>
        <n v="2932"/>
        <n v="2310"/>
        <n v="2069"/>
        <n v="1784"/>
        <n v="20640"/>
        <n v="15382"/>
        <n v="6821"/>
        <n v="11817"/>
        <n v="6897"/>
        <n v="6435"/>
        <n v="4805"/>
        <n v="9958"/>
        <n v="16752"/>
        <n v="16922"/>
        <n v="19327"/>
        <n v="15225"/>
        <n v="21166"/>
        <n v="27765"/>
        <n v="5693"/>
        <n v="5286"/>
        <n v="5223"/>
        <n v="-6860"/>
        <n v="-6664"/>
        <n v="5759"/>
        <n v="4835"/>
        <n v="4120"/>
        <n v="4883"/>
        <n v="3839"/>
        <n v="3965"/>
        <n v="4157"/>
        <n v="4213"/>
        <n v="4051"/>
        <n v="-52"/>
        <n v="-1610"/>
        <n v="-570"/>
        <n v="-889"/>
        <n v="-195"/>
        <n v="-8"/>
        <n v="-648"/>
        <n v="1306"/>
        <n v="1561"/>
        <n v="1283"/>
        <n v="11241.6"/>
        <n v="12224.1"/>
        <n v="9075.4"/>
        <n v="10687.7"/>
        <n v="10304.6"/>
        <n v="10916.1"/>
        <n v="9261.0020000000004"/>
        <n v="8701.2000000000007"/>
        <n v="9593.7009999999991"/>
        <n v="10349.4"/>
        <n v="10093.1"/>
        <n v="9944.7009999999991"/>
        <n v="8749.2999999999993"/>
        <n v="8057.2"/>
        <n v="1"/>
        <n v="5768"/>
        <n v="11215"/>
        <n v="5630"/>
        <n v="3227"/>
        <n v="4066"/>
        <n v="3409"/>
        <n v="2121"/>
        <n v="973"/>
        <n v="1007"/>
        <n v="740"/>
        <n v="874.4742"/>
        <n v="852.50379999999996"/>
        <n v="442.73610000000002"/>
        <n v="97.718900000000005"/>
        <n v="114.3228"/>
        <n v="15369"/>
        <n v="31248"/>
        <n v="35917"/>
        <n v="32861"/>
        <n v="32401"/>
        <n v="26179"/>
        <n v="20923"/>
        <n v="22713"/>
        <n v="23896"/>
        <n v="20323"/>
        <n v="22160"/>
        <n v="23541"/>
        <n v="20226"/>
        <n v="10763"/>
        <n v="54169"/>
        <n v="59312"/>
        <n v="48079"/>
        <n v="36330"/>
        <n v="27762"/>
        <n v="15584"/>
        <n v="12302"/>
        <n v="8514"/>
        <n v="4924"/>
        <n v="3998"/>
        <n v="2835"/>
        <n v="1945"/>
        <n v="1974"/>
        <n v="1507"/>
      </sharedItems>
    </cacheField>
    <cacheField name="Share Holder Equity" numFmtId="0">
      <sharedItems containsSemiMixedTypes="0" containsString="0" containsNumber="1" minValue="-8210.2999999999993" maxValue="256144" count="161">
        <n v="50672"/>
        <n v="63090"/>
        <n v="65339"/>
        <n v="90488"/>
        <n v="107147"/>
        <n v="134047"/>
        <n v="128249"/>
        <n v="119355"/>
        <n v="111547"/>
        <n v="123549"/>
        <n v="118210"/>
        <n v="76615"/>
        <n v="47791"/>
        <n v="31640"/>
        <n v="206223"/>
        <n v="166542"/>
        <n v="141988"/>
        <n v="118304"/>
        <n v="102330"/>
        <n v="82718"/>
        <n v="87711"/>
        <n v="71997"/>
        <n v="80083"/>
        <n v="89784"/>
        <n v="78944"/>
        <n v="66363"/>
        <n v="57083"/>
        <n v="46175"/>
        <n v="39558"/>
        <n v="256144"/>
        <n v="251635"/>
        <n v="222544"/>
        <n v="201442"/>
        <n v="177628"/>
        <n v="152502"/>
        <n v="139036"/>
        <n v="120331"/>
        <n v="103860"/>
        <n v="87309"/>
        <n v="71715"/>
        <n v="58145"/>
        <n v="46241"/>
        <n v="36004"/>
        <n v="20274"/>
        <n v="21727"/>
        <n v="20063"/>
        <n v="16929"/>
        <n v="15386"/>
        <n v="15994"/>
        <n v="14712"/>
        <n v="13759"/>
        <n v="8248"/>
        <n v="42235"/>
        <n v="68912"/>
        <n v="67199"/>
        <n v="67427"/>
        <n v="57309"/>
        <n v="65708"/>
        <n v="76858"/>
        <n v="90210"/>
        <n v="107272"/>
        <n v="101081"/>
        <n v="98669"/>
        <n v="102393"/>
        <n v="113239"/>
        <n v="98076"/>
        <n v="23075"/>
        <n v="21223"/>
        <n v="21253"/>
        <n v="5388"/>
        <n v="12903"/>
        <n v="19472"/>
        <n v="18192"/>
        <n v="16828"/>
        <n v="16000"/>
        <n v="14594"/>
        <n v="13326"/>
        <n v="12353"/>
        <n v="11534"/>
        <n v="10585"/>
        <n v="-3723"/>
        <n v="-3824"/>
        <n v="-1956"/>
        <n v="-945"/>
        <n v="2183"/>
        <n v="3172"/>
        <n v="4341"/>
        <n v="8614"/>
        <n v="9435"/>
        <n v="9699"/>
        <n v="-6003.4"/>
        <n v="-4601"/>
        <n v="-7824.9"/>
        <n v="-8210.2999999999993"/>
        <n v="-6258.4"/>
        <n v="-3268"/>
        <n v="-2204.3000000000002"/>
        <n v="7087.9"/>
        <n v="12853.4"/>
        <n v="16009.7"/>
        <n v="15293.6"/>
        <n v="14390.2"/>
        <n v="14634.2"/>
        <n v="14033.9"/>
        <n v="85667.7"/>
        <n v="96547.15"/>
        <n v="85876.479999999996"/>
        <n v="83841.259999999995"/>
        <n v="85132.21"/>
        <n v="85081.42"/>
        <n v="96720.98"/>
        <n v="100706.1"/>
        <n v="108705.4"/>
        <n v="100067.4"/>
        <n v="99793.14"/>
        <n v="104600.5"/>
        <n v="96275.73"/>
        <n v="91570.7"/>
        <n v="22101"/>
        <n v="26612"/>
        <n v="16893"/>
        <n v="12204"/>
        <n v="9342"/>
        <n v="7471"/>
        <n v="5762"/>
        <n v="4469"/>
        <n v="4418"/>
        <n v="4456.3980000000001"/>
        <n v="4827.7030000000004"/>
        <n v="4145.7240000000002"/>
        <n v="3181.462"/>
        <n v="2665.14"/>
        <n v="2394.652"/>
        <n v="103286"/>
        <n v="95391"/>
        <n v="81038"/>
        <n v="77504"/>
        <n v="74563"/>
        <n v="69019"/>
        <n v="66226"/>
        <n v="61085"/>
        <n v="55865"/>
        <n v="58256"/>
        <n v="51203"/>
        <n v="45911"/>
        <n v="49430"/>
        <n v="41704"/>
        <n v="146043"/>
        <n v="138245"/>
        <n v="93404"/>
        <n v="62060"/>
        <n v="43549"/>
        <n v="27709"/>
        <n v="19285"/>
        <n v="13384"/>
        <n v="10741"/>
        <n v="9746"/>
        <n v="8192"/>
        <n v="7757"/>
        <n v="6864"/>
        <n v="5257"/>
      </sharedItems>
    </cacheField>
    <cacheField name="Cash Flow from Operating" numFmtId="0">
      <sharedItems containsSemiMixedTypes="0" containsString="0" containsNumber="1" minValue="-39392.269999999997" maxValue="122151" count="160">
        <n v="122151"/>
        <n v="104038"/>
        <n v="80674"/>
        <n v="69391"/>
        <n v="77434"/>
        <n v="64225"/>
        <n v="66231"/>
        <n v="81266"/>
        <n v="59713"/>
        <n v="53666"/>
        <n v="50856"/>
        <n v="37529"/>
        <n v="18595"/>
        <n v="10159"/>
        <n v="87582"/>
        <n v="89035"/>
        <n v="76740"/>
        <n v="60675"/>
        <n v="52185"/>
        <n v="43884"/>
        <n v="39507"/>
        <n v="33325"/>
        <n v="29668"/>
        <n v="32502"/>
        <n v="28833"/>
        <n v="31626"/>
        <n v="26994"/>
        <n v="24073"/>
        <n v="19037"/>
        <n v="91495"/>
        <n v="91652"/>
        <n v="65124"/>
        <n v="54520"/>
        <n v="47971"/>
        <n v="37091"/>
        <n v="36036"/>
        <n v="26572"/>
        <n v="23024"/>
        <n v="18659"/>
        <n v="16619"/>
        <n v="14565"/>
        <n v="11081"/>
        <n v="9316"/>
        <n v="5813"/>
        <n v="5797"/>
        <n v="6219"/>
        <n v="4071"/>
        <n v="5480"/>
        <n v="2531"/>
        <n v="3158"/>
        <n v="2546"/>
        <n v="2220"/>
        <n v="4207"/>
        <n v="6279"/>
        <n v="1038"/>
        <n v="-1807"/>
        <n v="-394"/>
        <n v="-7818"/>
        <n v="3502"/>
        <n v="2877"/>
        <n v="5007"/>
        <n v="5865"/>
        <n v="3676"/>
        <n v="-81"/>
        <n v="16597"/>
        <n v="18584"/>
        <n v="3721"/>
        <n v="2262"/>
        <n v="-19130"/>
        <n v="4816"/>
        <n v="4752"/>
        <n v="5977"/>
        <n v="4409"/>
        <n v="3780"/>
        <n v="3690"/>
        <n v="3427"/>
        <n v="4882"/>
        <n v="3739"/>
        <n v="3206"/>
        <n v="3039"/>
        <n v="-1842"/>
        <n v="-1381"/>
        <n v="-2167"/>
        <n v="-1387"/>
        <n v="-1109"/>
        <n v="-303"/>
        <n v="-275"/>
        <n v="123"/>
        <n v="1507"/>
        <n v="992"/>
        <n v="7386.7"/>
        <n v="9141.5"/>
        <n v="6265.2"/>
        <n v="8122.1"/>
        <n v="6966.7"/>
        <n v="5551.2"/>
        <n v="6059.6"/>
        <n v="6539.1"/>
        <n v="6730.3"/>
        <n v="7120.7"/>
        <n v="6966.1"/>
        <n v="7150.1"/>
        <n v="6341.6"/>
        <n v="5751"/>
        <n v="37392.720000000001"/>
        <n v="67268.52"/>
        <n v="73836.42"/>
        <n v="-15699.49"/>
        <n v="11351.14"/>
        <n v="78244.34"/>
        <n v="15295.92"/>
        <n v="24659.71"/>
        <n v="-17207.810000000001"/>
        <n v="-39392.269999999997"/>
        <n v="-21741.23"/>
        <n v="46654.34"/>
        <n v="28894.16"/>
        <n v="65523.51"/>
        <n v="5641"/>
        <n v="9108"/>
        <n v="5822"/>
        <n v="4761"/>
        <n v="3743"/>
        <n v="1672"/>
        <n v="1175"/>
        <n v="906"/>
        <n v="835"/>
        <n v="824.17200000000003"/>
        <n v="909.15599999999995"/>
        <n v="675.79700000000003"/>
        <n v="487.80700000000002"/>
        <n v="249.36"/>
        <n v="15433"/>
        <n v="29456"/>
        <n v="35864"/>
        <n v="33145"/>
        <n v="29432"/>
        <n v="22110"/>
        <n v="21808"/>
        <n v="19018"/>
        <n v="20418"/>
        <n v="20776"/>
        <n v="18884"/>
        <n v="20963"/>
        <n v="16692"/>
        <n v="11170"/>
        <n v="46752"/>
        <n v="46327"/>
        <n v="66064"/>
        <n v="38514"/>
        <n v="30723"/>
        <n v="18365"/>
        <n v="17203"/>
        <n v="12039"/>
        <n v="6842"/>
        <n v="5475"/>
        <n v="4180"/>
        <n v="3903"/>
        <n v="3495"/>
        <n v="3293"/>
      </sharedItems>
    </cacheField>
    <cacheField name="Cash Flow from Investing" numFmtId="0">
      <sharedItems containsSemiMixedTypes="0" containsString="0" containsNumber="1" minValue="-59611" maxValue="49749" count="161">
        <n v="-22354"/>
        <n v="-14545"/>
        <n v="-4289"/>
        <n v="45896"/>
        <n v="16066"/>
        <n v="-46446"/>
        <n v="-45977"/>
        <n v="-56274"/>
        <n v="-22579"/>
        <n v="-33774"/>
        <n v="-48227"/>
        <n v="-40419"/>
        <n v="-13854"/>
        <n v="-17434"/>
        <n v="-22680"/>
        <n v="-30311"/>
        <n v="-27577"/>
        <n v="-12223"/>
        <n v="-15773"/>
        <n v="-6061"/>
        <n v="-46781"/>
        <n v="-23950"/>
        <n v="-23001"/>
        <n v="-18833"/>
        <n v="-23811"/>
        <n v="-24786"/>
        <n v="-14616"/>
        <n v="-11314"/>
        <n v="-15770"/>
        <n v="-20298"/>
        <n v="-35523"/>
        <n v="-32773"/>
        <n v="-29491"/>
        <n v="-28504"/>
        <n v="-31401"/>
        <n v="-31165"/>
        <n v="-23711"/>
        <n v="-21055"/>
        <n v="-13679"/>
        <n v="-13056"/>
        <n v="-19041"/>
        <n v="-10680"/>
        <n v="-8019"/>
        <n v="-3421"/>
        <n v="-5149"/>
        <n v="-16545"/>
        <n v="-5742"/>
        <n v="821"/>
        <n v="-4485"/>
        <n v="-5904"/>
        <n v="-8038"/>
        <n v="-2881"/>
        <n v="-3626"/>
        <n v="-3280"/>
        <n v="-6202"/>
        <n v="-5475"/>
        <n v="-223"/>
        <n v="14041"/>
        <n v="3252"/>
        <n v="8462"/>
        <n v="14284"/>
        <n v="7099"/>
        <n v="16612"/>
        <n v="36448"/>
        <n v="-9912"/>
        <n v="5778"/>
        <n v="-10214"/>
        <n v="-6905"/>
        <n v="-7748"/>
        <n v="-6378"/>
        <n v="-6564"/>
        <n v="-5650"/>
        <n v="-5753"/>
        <n v="-5211"/>
        <n v="-4714"/>
        <n v="-5107"/>
        <n v="-4526"/>
        <n v="-3986"/>
        <n v="-3857"/>
        <n v="-3336"/>
        <n v="1894"/>
        <n v="244"/>
        <n v="2519"/>
        <n v="327"/>
        <n v="664"/>
        <n v="191"/>
        <n v="-309"/>
        <n v="-406"/>
        <n v="-172"/>
        <n v="-637"/>
        <n v="-2678.1"/>
        <n v="-2165.6999999999998"/>
        <n v="-1545.8"/>
        <n v="-3071.1"/>
        <n v="-2455.1"/>
        <n v="562"/>
        <n v="-981.6"/>
        <n v="-1420"/>
        <n v="-2304.9"/>
        <n v="-2673.8"/>
        <n v="-3167.3"/>
        <n v="-2570.9"/>
        <n v="-2056"/>
        <n v="-1655.3"/>
        <n v="-26807.33"/>
        <n v="5871.6769999999997"/>
        <n v="-23594.78"/>
        <n v="-16377.52"/>
        <n v="903.65959999999995"/>
        <n v="4513.3770000000004"/>
        <n v="49749"/>
        <n v="-12895.59"/>
        <n v="17560.509999999998"/>
        <n v="-35434.89"/>
        <n v="-11252.63"/>
        <n v="-3067.61"/>
        <n v="-8701.0300000000007"/>
        <n v="18026.64"/>
        <n v="7375"/>
        <n v="-9830"/>
        <n v="-19675"/>
        <n v="6145"/>
        <n v="-4097"/>
        <n v="1278"/>
        <n v="-793"/>
        <n v="-400"/>
        <n v="-727"/>
        <n v="-806"/>
        <n v="-743.99199999999996"/>
        <n v="-1143.364"/>
        <n v="-649.678"/>
        <n v="-519.33299999999997"/>
        <n v="-209.36699999999999"/>
        <n v="-10477"/>
        <n v="-24449"/>
        <n v="-21524"/>
        <n v="-14405"/>
        <n v="-11239"/>
        <n v="-15762"/>
        <n v="-25817"/>
        <n v="-8183"/>
        <n v="-9905"/>
        <n v="-18073"/>
        <n v="-14060"/>
        <n v="-10301"/>
        <n v="-10539"/>
        <n v="-7965"/>
        <n v="-37601"/>
        <n v="-58154"/>
        <n v="-59611"/>
        <n v="-24281"/>
        <n v="-12369"/>
        <n v="-27084"/>
        <n v="-9516"/>
        <n v="-6450"/>
        <n v="-5065"/>
        <n v="-4276"/>
        <n v="-3595"/>
        <n v="-1930"/>
        <n v="-3360"/>
        <n v="-2337"/>
      </sharedItems>
    </cacheField>
    <cacheField name="Cash Flow from Financial Activities" numFmtId="0">
      <sharedItems containsSemiMixedTypes="0" containsString="0" containsNumber="1" minValue="-110749" maxValue="25928" count="160">
        <n v="-110749"/>
        <n v="-93353"/>
        <n v="-86820"/>
        <n v="-90976"/>
        <n v="-87876"/>
        <n v="-17974"/>
        <n v="-20890"/>
        <n v="-17716"/>
        <n v="-37549"/>
        <n v="-16379"/>
        <n v="-1698"/>
        <n v="1444"/>
        <n v="1257"/>
        <n v="663"/>
        <n v="-43935"/>
        <n v="-58876"/>
        <n v="-48486"/>
        <n v="-46031"/>
        <n v="-36887"/>
        <n v="-33590"/>
        <n v="8408"/>
        <n v="-8393"/>
        <n v="-9668"/>
        <n v="-8665"/>
        <n v="-8148"/>
        <n v="-9408"/>
        <n v="-8376"/>
        <n v="-13291"/>
        <n v="-7463"/>
        <n v="-69757"/>
        <n v="-61362"/>
        <n v="-24408"/>
        <n v="-23209"/>
        <n v="-13179"/>
        <n v="-8298"/>
        <n v="-8332"/>
        <n v="-4225"/>
        <n v="-2087"/>
        <n v="-857"/>
        <n v="1229"/>
        <n v="807"/>
        <n v="3050"/>
        <n v="233"/>
        <n v="-1110"/>
        <n v="-557"/>
        <n v="12454"/>
        <n v="4187"/>
        <n v="-1240"/>
        <n v="4084"/>
        <n v="2038"/>
        <n v="4728"/>
        <n v="1284"/>
        <n v="-676"/>
        <n v="-3735"/>
        <n v="5058"/>
        <n v="7258"/>
        <n v="1249"/>
        <n v="-5697"/>
        <n v="-6833"/>
        <n v="-11429"/>
        <n v="-19788"/>
        <n v="-11758"/>
        <n v="-20564"/>
        <n v="-36926"/>
        <n v="-9261"/>
        <n v="-28997"/>
        <n v="7133"/>
        <n v="4323"/>
        <n v="25928"/>
        <n v="1464"/>
        <n v="3031"/>
        <n v="-55"/>
        <n v="1171"/>
        <n v="1403"/>
        <n v="879"/>
        <n v="1575"/>
        <n v="-468"/>
        <n v="469"/>
        <n v="415"/>
        <n v="605"/>
        <n v="-2"/>
        <n v="1185"/>
        <n v="-364"/>
        <n v="285"/>
        <n v="902"/>
        <n v="-27"/>
        <n v="-28"/>
        <n v="-95"/>
        <n v="-951"/>
        <n v="-643"/>
        <n v="-6580.2"/>
        <n v="-5595.6"/>
        <n v="-2249"/>
        <n v="-4994.8"/>
        <n v="-5949.6"/>
        <n v="-5310.8"/>
        <n v="-11262.4"/>
        <n v="735.3"/>
        <n v="-4618.3"/>
        <n v="-4043"/>
        <n v="-3849.8"/>
        <n v="-4533"/>
        <n v="-3728.7"/>
        <n v="-4421"/>
        <n v="860.88239999999996"/>
        <n v="147.13570000000001"/>
        <n v="3507.8879999999999"/>
        <n v="881.06100000000004"/>
        <n v="-9059.2880000000005"/>
        <n v="1238.537"/>
        <n v="-1784.93"/>
        <n v="-674.28899999999999"/>
        <n v="-5039.8900000000003"/>
        <n v="9247.9680000000008"/>
        <n v="-4504.8540000000003"/>
        <n v="-9563.82"/>
        <n v="245.86"/>
        <n v="-1035.05"/>
        <n v="-11617"/>
        <n v="1865"/>
        <n v="3804"/>
        <n v="-792"/>
        <n v="-2866"/>
        <n v="-2544"/>
        <n v="291"/>
        <n v="-834"/>
        <n v="390"/>
        <n v="-15.27"/>
        <n v="236.72300000000001"/>
        <n v="192.02099999999999"/>
        <n v="61.058999999999997"/>
        <n v="-349.274"/>
        <n v="1361"/>
        <n v="-6045"/>
        <n v="-12669"/>
        <n v="-17565"/>
        <n v="-18607"/>
        <n v="-8475"/>
        <n v="-5739"/>
        <n v="1912"/>
        <n v="-13611"/>
        <n v="-5498"/>
        <n v="-1408"/>
        <n v="-11100"/>
        <n v="-4642"/>
        <n v="-2568"/>
        <n v="9718"/>
        <n v="6291"/>
        <n v="-1104"/>
        <n v="-10066"/>
        <n v="-7686"/>
        <n v="9928"/>
        <n v="-3716"/>
        <n v="-3882"/>
        <n v="4432"/>
        <n v="-539"/>
        <n v="2259"/>
        <n v="-482"/>
        <n v="181"/>
        <n v="-280"/>
      </sharedItems>
    </cacheField>
    <cacheField name="Current Ratio" numFmtId="0">
      <sharedItems containsSemiMixedTypes="0" containsString="0" containsNumber="1" minValue="0.2205" maxValue="10.617800000000001" count="134">
        <n v="0.87939999999999996"/>
        <n v="1.0746"/>
        <n v="1.3635999999999999"/>
        <n v="1.5401"/>
        <n v="1.1329"/>
        <n v="1.2761"/>
        <n v="1.3527"/>
        <n v="1.1088"/>
        <n v="1.0801000000000001"/>
        <n v="1.6786000000000001"/>
        <n v="1.4958"/>
        <n v="1.6084000000000001"/>
        <n v="2.0112999999999999"/>
        <n v="2.7425000000000002"/>
        <n v="1.7692000000000001"/>
        <n v="1.7846"/>
        <n v="2.08"/>
        <n v="2.5158"/>
        <n v="2.5287999999999999"/>
        <n v="2.9007999999999998"/>
        <n v="2.9186000000000001"/>
        <n v="2.3529"/>
        <n v="2.4733999999999998"/>
        <n v="2.504"/>
        <n v="2.7118000000000002"/>
        <n v="2.6029"/>
        <n v="2.6036999999999999"/>
        <n v="2.1293000000000002"/>
        <n v="1.8229"/>
        <n v="2.3780000000000001"/>
        <n v="2.9281000000000001"/>
        <n v="3.0668000000000002"/>
        <n v="3.3740999999999999"/>
        <n v="3.919"/>
        <n v="5.1402999999999999"/>
        <n v="6.2907999999999999"/>
        <n v="4.6666999999999996"/>
        <n v="4.6878000000000002"/>
        <n v="4.5816999999999997"/>
        <n v="4.2165999999999997"/>
        <n v="5.9192"/>
        <n v="4.1578999999999997"/>
        <n v="10.617800000000001"/>
        <n v="1.2753000000000001"/>
        <n v="1.2218"/>
        <n v="1.3264"/>
        <n v="1.43"/>
        <n v="1.2725"/>
        <n v="1.4278999999999999"/>
        <n v="1.5246"/>
        <n v="1.5163"/>
        <n v="1.3224"/>
        <n v="1"/>
        <n v="0.81169999999999998"/>
        <n v="0.63560000000000005"/>
        <n v="0.70699999999999996"/>
        <n v="1.3321000000000001"/>
        <n v="0.2205"/>
        <n v="0.88100000000000001"/>
        <n v="0.81489999999999996"/>
        <n v="0.91359999999999997"/>
        <n v="1.0791999999999999"/>
        <n v="0.79769999999999996"/>
        <n v="0.81859999999999999"/>
        <n v="0.83620000000000005"/>
        <n v="0.77129999999999999"/>
        <n v="0.83030000000000004"/>
        <n v="0.77559999999999996"/>
        <n v="1.0672999999999999"/>
        <n v="1.1115999999999999"/>
        <n v="1.0479000000000001"/>
        <n v="1.0946"/>
        <n v="1.1011"/>
        <n v="1.1120000000000001"/>
        <n v="1.3374999999999999"/>
        <n v="1.3018000000000001"/>
        <n v="1.3411999999999999"/>
        <n v="1.4266000000000001"/>
        <n v="1.7782"/>
        <n v="1.01"/>
        <n v="0.98260000000000003"/>
        <n v="1.3631"/>
        <n v="1.8429"/>
        <n v="1.3979999999999999"/>
        <n v="3.2684000000000002"/>
        <n v="1.5232000000000001"/>
        <n v="1.5931"/>
        <n v="1.4463999999999999"/>
        <n v="1.2546999999999999"/>
        <n v="1.4937"/>
        <n v="1.1431"/>
        <n v="3.5156000000000001"/>
        <n v="6.6502999999999997"/>
        <n v="4.0903999999999998"/>
        <n v="7.6738"/>
        <n v="7.9436"/>
        <n v="8.0268999999999995"/>
        <n v="4.774"/>
        <n v="2.5746000000000002"/>
        <n v="6.3761000000000001"/>
        <n v="5.9489999999999998"/>
        <n v="4.8916000000000004"/>
        <n v="4.1994999999999996"/>
        <n v="3.4232"/>
        <n v="3.1627999999999998"/>
        <n v="2.7845"/>
        <n v="1.5676000000000001"/>
        <n v="2.1322999999999999"/>
        <n v="1.9087000000000001"/>
        <n v="1.4001999999999999"/>
        <n v="1.7314000000000001"/>
        <n v="1.6934"/>
        <n v="1.7490000000000001"/>
        <n v="2.4491999999999998"/>
        <n v="1.7319"/>
        <n v="2.3647"/>
        <n v="2.4312"/>
        <n v="2.1509999999999998"/>
        <n v="3.3892000000000002"/>
        <n v="2.7871000000000001"/>
        <n v="0.9446"/>
        <n v="1.1357999999999999"/>
        <n v="1.0502"/>
        <n v="1.097"/>
        <n v="1.0981000000000001"/>
        <n v="1.04"/>
        <n v="1.0448"/>
        <n v="1.0536000000000001"/>
        <n v="1.1153"/>
        <n v="1.0716000000000001"/>
        <n v="1.1207"/>
        <n v="1.1740999999999999"/>
        <n v="1.3253999999999999"/>
        <n v="1.3304"/>
      </sharedItems>
    </cacheField>
    <cacheField name="Debt/Equity Ratio" numFmtId="0">
      <sharedItems containsSemiMixedTypes="0" containsString="0" containsNumber="1" minValue="-11.775" maxValue="9.3328000000000007" count="152">
        <n v="2.3694999999999999"/>
        <n v="1.9767999999999999"/>
        <n v="1.7208000000000001"/>
        <n v="1.194"/>
        <n v="1.0685"/>
        <n v="0.86299999999999999"/>
        <n v="0.67859999999999998"/>
        <n v="0.53900000000000003"/>
        <n v="0.31640000000000001"/>
        <n v="0.13730000000000001"/>
        <n v="0"/>
        <n v="0.2291"/>
        <n v="0.2989"/>
        <n v="0.40949999999999998"/>
        <n v="0.5353"/>
        <n v="0.70530000000000004"/>
        <n v="0.92169999999999996"/>
        <n v="0.98270000000000002"/>
        <n v="0.74250000000000005"/>
        <n v="0.44069999999999998"/>
        <n v="0.25219999999999998"/>
        <n v="0.1976"/>
        <n v="0.18"/>
        <n v="0.20880000000000001"/>
        <n v="0.12859999999999999"/>
        <n v="0.14530000000000001"/>
        <n v="5.74E-2"/>
        <n v="5.8900000000000001E-2"/>
        <n v="6.2600000000000003E-2"/>
        <n v="2.2599999999999999E-2"/>
        <n v="2.5999999999999999E-2"/>
        <n v="2.8299999999999999E-2"/>
        <n v="4.3400000000000001E-2"/>
        <n v="5.04E-2"/>
        <n v="6.0100000000000001E-2"/>
        <n v="7.7200000000000005E-2"/>
        <n v="7.2300000000000003E-2"/>
        <n v="7.4899999999999994E-2"/>
        <n v="0.51380000000000003"/>
        <n v="0.3705"/>
        <n v="0.44550000000000001"/>
        <n v="0.29330000000000001"/>
        <n v="0.12989999999999999"/>
        <n v="6.25E-2"/>
        <n v="0.13250000000000001"/>
        <n v="0.64349999999999996"/>
        <n v="0.43769999999999998"/>
        <n v="0.55859999999999999"/>
        <n v="0.52429999999999999"/>
        <n v="0.60270000000000001"/>
        <n v="0.48149999999999998"/>
        <n v="0.4022"/>
        <n v="0.32419999999999999"/>
        <n v="0.29099999999999998"/>
        <n v="0.41249999999999998"/>
        <n v="0.49149999999999999"/>
        <n v="0.7349"/>
        <n v="0.75480000000000003"/>
        <n v="1.1552"/>
        <n v="2.2563"/>
        <n v="2.1152000000000002"/>
        <n v="1.9227000000000001"/>
        <n v="1.7045999999999999"/>
        <n v="0.98240000000000005"/>
        <n v="1.0134000000000001"/>
        <n v="1.0164"/>
        <n v="0.98019999999999996"/>
        <n v="1.0126999999999999"/>
        <n v="1.0062"/>
        <n v="1.1241000000000001"/>
        <n v="1.1613"/>
        <n v="1.2062999999999999"/>
        <n v="-1.1099000000000001"/>
        <n v="-1.0887"/>
        <n v="-1.5215000000000001"/>
        <n v="-3.9958"/>
        <n v="1.9463999999999999"/>
        <n v="0.98360000000000003"/>
        <n v="0.80469999999999997"/>
        <n v="0.37069999999999997"/>
        <n v="0.26550000000000001"/>
        <n v="0.30099999999999999"/>
        <n v="-5.9805000000000001"/>
        <n v="-7.7423999999999999"/>
        <n v="-4.7847999999999997"/>
        <n v="-4.1627000000000001"/>
        <n v="-4.9653999999999998"/>
        <n v="-9.0381"/>
        <n v="-11.775"/>
        <n v="3.4033000000000002"/>
        <n v="1.1619999999999999"/>
        <n v="0.88260000000000005"/>
        <n v="0.89139999999999997"/>
        <n v="0.86870000000000003"/>
        <n v="0.78620000000000001"/>
        <n v="0.75380000000000003"/>
        <n v="7.1601999999999997"/>
        <n v="6.3395999999999999"/>
        <n v="6.0327000000000002"/>
        <n v="5.3348000000000004"/>
        <n v="5.8975"/>
        <n v="5.2797000000000001"/>
        <n v="3.5002"/>
        <n v="3.6646000000000001"/>
        <n v="5.0612000000000004"/>
        <n v="6.6208"/>
        <n v="7.6879999999999997"/>
        <n v="7.6044999999999998"/>
        <n v="9.3328000000000007"/>
        <n v="8.5152000000000001"/>
        <n v="0.49559999999999998"/>
        <n v="0.4113"/>
        <n v="0.41220000000000001"/>
        <n v="0.16309999999999999"/>
        <n v="0.21279999999999999"/>
        <n v="0.26769999999999999"/>
        <n v="0.48770000000000002"/>
        <n v="0.33789999999999998"/>
        <n v="0.30830000000000002"/>
        <n v="3.8999999999999998E-3"/>
        <n v="5.1999999999999998E-3"/>
        <n v="7.4000000000000003E-3"/>
        <n v="9.1999999999999998E-3"/>
        <n v="1.0699999999999999E-2"/>
        <n v="0.40710000000000002"/>
        <n v="0.39939999999999998"/>
        <n v="0.44919999999999999"/>
        <n v="0.37419999999999998"/>
        <n v="0.35349999999999998"/>
        <n v="0.38850000000000001"/>
        <n v="0.38179999999999997"/>
        <n v="0.37109999999999999"/>
        <n v="0.24440000000000001"/>
        <n v="0.23080000000000001"/>
        <n v="0.2626"/>
        <n v="0.15970000000000001"/>
        <n v="4.2799999999999998E-2"/>
        <n v="5.33E-2"/>
        <n v="0.45979999999999999"/>
        <n v="0.35260000000000002"/>
        <n v="0.34060000000000001"/>
        <n v="0.37730000000000002"/>
        <n v="0.53949999999999998"/>
        <n v="0.89300000000000002"/>
        <n v="0.39900000000000002"/>
        <n v="0.61470000000000002"/>
        <n v="0.76949999999999996"/>
        <n v="0.32740000000000002"/>
        <n v="0.3765"/>
        <n v="3.2899999999999999E-2"/>
        <n v="0.22739999999999999"/>
        <n v="0.20069999999999999"/>
      </sharedItems>
    </cacheField>
    <cacheField name="ROE" numFmtId="0">
      <sharedItems containsSemiMixedTypes="0" containsString="0" containsNumber="1" minValue="-212.6069" maxValue="196.9589" count="161">
        <n v="196.9589"/>
        <n v="150.07130000000001"/>
        <n v="87.866399999999999"/>
        <n v="61.064500000000002"/>
        <n v="55.560099999999998"/>
        <n v="36.0702"/>
        <n v="35.623699999999999"/>
        <n v="44.735500000000002"/>
        <n v="35.420099999999998"/>
        <n v="29.977599999999999"/>
        <n v="35.304099999999998"/>
        <n v="33.834099999999999"/>
        <n v="29.321400000000001"/>
        <n v="26.027200000000001"/>
        <n v="35.088700000000003"/>
        <n v="43.6755"/>
        <n v="43.152200000000001"/>
        <n v="37.4298"/>
        <n v="38.346499999999999"/>
        <n v="20.033100000000001"/>
        <n v="29.060199999999998"/>
        <n v="28.5276"/>
        <n v="15.2255"/>
        <n v="24.585699999999999"/>
        <n v="27.694299999999998"/>
        <n v="25.583500000000001"/>
        <n v="40.555"/>
        <n v="40.628"/>
        <n v="36.829500000000003"/>
        <n v="23.413399999999999"/>
        <n v="30.215599999999998"/>
        <n v="18.094899999999999"/>
        <n v="17.0486"/>
        <n v="17.303599999999999"/>
        <n v="8.3027999999999995"/>
        <n v="14.0093"/>
        <n v="13.585900000000001"/>
        <n v="13.113799999999999"/>
        <n v="15.072900000000001"/>
        <n v="16.1096"/>
        <n v="16.746099999999998"/>
        <n v="18.392800000000001"/>
        <n v="18.109100000000002"/>
        <n v="11.9315"/>
        <n v="19.188099999999999"/>
        <n v="20.943999999999999"/>
        <n v="14.525399999999999"/>
        <n v="13.369300000000001"/>
        <n v="11.223000000000001"/>
        <n v="9.5228000000000002"/>
        <n v="8.9251000000000005"/>
        <n v="5.08"/>
        <n v="27.008400000000002"/>
        <n v="14.5016"/>
        <n v="-8.7432999999999996"/>
        <n v="6.1561000000000003"/>
        <n v="0.1797"/>
        <n v="-9.2225999999999999"/>
        <n v="-0.33700000000000002"/>
        <n v="2.4630999999999998"/>
        <n v="7.0606"/>
        <n v="8.9116999999999997"/>
        <n v="3.7488999999999999"/>
        <n v="18.4222"/>
        <n v="32.126199999999997"/>
        <n v="-45.306100000000001"/>
        <n v="7.8613"/>
        <n v="-0.41460000000000002"/>
        <n v="-6.1356000000000002"/>
        <n v="-141.83369999999999"/>
        <n v="-52.987699999999997"/>
        <n v="8.5251000000000001"/>
        <n v="7.7342000000000004"/>
        <n v="5.2769000000000004"/>
        <n v="9.0625"/>
        <n v="5.6736000000000004"/>
        <n v="6.2283999999999997"/>
        <n v="6.9457000000000004"/>
        <n v="9.6496999999999993"/>
        <n v="11.657999999999999"/>
        <n v="10.2874"/>
        <n v="58.080500000000001"/>
        <n v="57.668700000000001"/>
        <n v="191.53440000000001"/>
        <n v="-51.122300000000003"/>
        <n v="-33.228299999999997"/>
        <n v="-71.872799999999998"/>
        <n v="1.6136999999999999"/>
        <n v="2.9676999999999998"/>
        <n v="1.0206999999999999"/>
        <n v="-102.89830000000001"/>
        <n v="-163.99029999999999"/>
        <n v="-60.454500000000003"/>
        <n v="-73.388300000000001"/>
        <n v="-94.661600000000007"/>
        <n v="-158.88319999999999"/>
        <n v="-212.6069"/>
        <n v="63.901899999999998"/>
        <n v="37.015900000000002"/>
        <n v="34.890700000000002"/>
        <n v="35.732599999999998"/>
        <n v="38.241999999999997"/>
        <n v="33.799599999999998"/>
        <n v="32.428600000000003"/>
        <n v="8.6240000000000006"/>
        <n v="10.2918"/>
        <n v="3.6796000000000002"/>
        <n v="5.1081000000000003"/>
        <n v="3.7191000000000001"/>
        <n v="1.9706999999999999"/>
        <n v="3.1345999999999998"/>
        <n v="0.94589999999999996"/>
        <n v="1.2810999999999999"/>
        <n v="2.0282"/>
        <n v="-0.37490000000000001"/>
        <n v="4.6121999999999996"/>
        <n v="6.0555000000000003"/>
        <n v="19.528300000000002"/>
        <n v="19.7638"/>
        <n v="36.645099999999999"/>
        <n v="25.643799999999999"/>
        <n v="22.910499999999999"/>
        <n v="44.326700000000002"/>
        <n v="40.784399999999998"/>
        <n v="28.913599999999999"/>
        <n v="13.739100000000001"/>
        <n v="14.282500000000001"/>
        <n v="9.8734000000000002"/>
        <n v="11.6523"/>
        <n v="14.0166"/>
        <n v="7.9569000000000001"/>
        <n v="-2.5510000000000002"/>
        <n v="-1.2544999999999999"/>
        <n v="7.7618999999999998"/>
        <n v="20.827999999999999"/>
        <n v="25.789100000000001"/>
        <n v="27.157299999999999"/>
        <n v="28.235199999999999"/>
        <n v="13.9107"/>
        <n v="15.577"/>
        <n v="18.6953"/>
        <n v="20.950500000000002"/>
        <n v="16.513300000000001"/>
        <n v="21.492899999999999"/>
        <n v="28.189299999999999"/>
        <n v="23.192399999999999"/>
        <n v="10.4762"/>
        <n v="-1.8637999999999999"/>
        <n v="24.134"/>
        <n v="22.837399999999999"/>
        <n v="18.6723"/>
        <n v="23.130299999999998"/>
        <n v="10.9459"/>
        <n v="12.294499999999999"/>
        <n v="4.4531000000000001"/>
        <n v="-2.2437"/>
        <n v="2.8113999999999999"/>
        <n v="-0.47610000000000002"/>
        <n v="8.1346000000000007"/>
        <n v="16.783200000000001"/>
        <n v="17.158100000000001"/>
      </sharedItems>
    </cacheField>
    <cacheField name="ROA" numFmtId="0">
      <sharedItems containsSemiMixedTypes="0" containsString="0" containsNumber="1" minValue="-23.723600000000001" maxValue="31.1541" count="161">
        <n v="28.292400000000001"/>
        <n v="26.9742"/>
        <n v="17.7256"/>
        <n v="16.323"/>
        <n v="16.2775"/>
        <n v="12.8826"/>
        <n v="14.202400000000001"/>
        <n v="18.389900000000001"/>
        <n v="17.042000000000002"/>
        <n v="17.892299999999999"/>
        <n v="23.703299999999999"/>
        <n v="22.275300000000001"/>
        <n v="18.638500000000001"/>
        <n v="17.336500000000001"/>
        <n v="17.564399999999999"/>
        <n v="19.937000000000001"/>
        <n v="18.3568"/>
        <n v="14.696099999999999"/>
        <n v="13.6937"/>
        <n v="6.4017999999999997"/>
        <n v="10.1829"/>
        <n v="10.616199999999999"/>
        <n v="6.9885000000000002"/>
        <n v="12.805099999999999"/>
        <n v="15.3499"/>
        <n v="14.0001"/>
        <n v="21.296399999999998"/>
        <n v="21.785299999999999"/>
        <n v="18.705100000000002"/>
        <n v="16.418800000000001"/>
        <n v="21.1633"/>
        <n v="12.5992"/>
        <n v="12.4472"/>
        <n v="13.203200000000001"/>
        <n v="6.4177999999999997"/>
        <n v="11.6289"/>
        <n v="11.0863"/>
        <n v="10.542899999999999"/>
        <n v="11.8644"/>
        <n v="12.3169"/>
        <n v="13.416700000000001"/>
        <n v="14.701599999999999"/>
        <n v="16.100000000000001"/>
        <n v="3.073"/>
        <n v="5.4997999999999996"/>
        <n v="5.9705000000000004"/>
        <n v="4.7903000000000002"/>
        <n v="4.7470999999999997"/>
        <n v="4.4023000000000003"/>
        <n v="4.2321999999999997"/>
        <n v="4.2519"/>
        <n v="1.9117999999999999"/>
        <n v="2.1410999999999998"/>
        <n v="1.6646000000000001"/>
        <n v="-0.99460000000000004"/>
        <n v="0.78490000000000004"/>
        <n v="2.0899999999999998E-2"/>
        <n v="-1.2161"/>
        <n v="-5.1999999999999998E-2"/>
        <n v="0.44719999999999999"/>
        <n v="1.4690000000000001"/>
        <n v="1.6640999999999999"/>
        <n v="0.67420000000000002"/>
        <n v="3.4106999999999998"/>
        <n v="1.9393"/>
        <n v="-1.5123"/>
        <n v="1.5288999999999999"/>
        <n v="-8.5199999999999998E-2"/>
        <n v="-1.3326"/>
        <n v="-8.9699000000000009"/>
        <n v="-8.8797999999999995"/>
        <n v="2.4407000000000001"/>
        <n v="2.0510999999999999"/>
        <n v="1.4043000000000001"/>
        <n v="2.4116"/>
        <n v="1.4891000000000001"/>
        <n v="1.5825"/>
        <n v="1.7245999999999999"/>
        <n v="2.4182999999999999"/>
        <n v="2.8734000000000002"/>
        <n v="-5.274"/>
        <n v="-23.723600000000001"/>
        <n v="-9.9497"/>
        <n v="-13.7277"/>
        <n v="-6.1113999999999997"/>
        <n v="-5.4497999999999998"/>
        <n v="-14.5924"/>
        <n v="0.5706"/>
        <n v="1.1287"/>
        <n v="0.39069999999999999"/>
        <n v="12.248100000000001"/>
        <n v="14.010400000000001"/>
        <n v="8.9887999999999995"/>
        <n v="12.6822"/>
        <n v="18.055700000000002"/>
        <n v="15.360200000000001"/>
        <n v="15.1061"/>
        <n v="11.938499999999999"/>
        <n v="13.900600000000001"/>
        <n v="15.251099999999999"/>
        <n v="15.443199999999999"/>
        <n v="16.6812"/>
        <n v="15.469200000000001"/>
        <n v="15.0571"/>
        <n v="0.39460000000000001"/>
        <n v="0.52200000000000002"/>
        <n v="0.18240000000000001"/>
        <n v="0.29420000000000002"/>
        <n v="0.20930000000000001"/>
        <n v="0.1148"/>
        <n v="0.18440000000000001"/>
        <n v="5.5599999999999997E-2"/>
        <n v="6.2199999999999998E-2"/>
        <n v="9.8799999999999999E-2"/>
        <n v="-1.5800000000000002E-2"/>
        <n v="0.1923"/>
        <n v="0.25309999999999999"/>
        <n v="0.82820000000000005"/>
        <n v="10.6066"/>
        <n v="22.069800000000001"/>
        <n v="15.0464"/>
        <n v="16.1479"/>
        <n v="31.1541"/>
        <n v="27.106100000000001"/>
        <n v="16.929200000000002"/>
        <n v="8.3310999999999993"/>
        <n v="8.7627000000000006"/>
        <n v="6.0682"/>
        <n v="8.7728000000000002"/>
        <n v="10.464600000000001"/>
        <n v="5.6314000000000002"/>
        <n v="-1.8958999999999999"/>
        <n v="-0.89659999999999995"/>
        <n v="4.4024999999999999"/>
        <n v="11.797700000000001"/>
        <n v="13.651400000000001"/>
        <n v="15.4171"/>
        <n v="16.452400000000001"/>
        <n v="7.7899000000000003"/>
        <n v="9.1029"/>
        <n v="11.255800000000001"/>
        <n v="12.7356"/>
        <n v="10.416"/>
        <n v="13.0467"/>
        <n v="18.197700000000001"/>
        <n v="18.1433"/>
        <n v="8.2286000000000001"/>
        <n v="-0.58830000000000005"/>
        <n v="7.9333999999999998"/>
        <n v="6.6410999999999998"/>
        <n v="5.1445999999999996"/>
        <n v="6.1931000000000003"/>
        <n v="2.3098000000000001"/>
        <n v="2.8429000000000002"/>
        <n v="0.92049999999999998"/>
        <n v="-0.44219999999999998"/>
        <n v="0.68230000000000002"/>
        <n v="-0.1198"/>
        <n v="2.4962"/>
        <n v="6.1285999999999996"/>
        <n v="6.5301"/>
      </sharedItems>
    </cacheField>
    <cacheField name="ROI" numFmtId="0">
      <sharedItems containsSemiMixedTypes="0" containsString="0" containsNumber="1" minValue="-742.10519999999997" maxValue="884.8605" count="161">
        <n v="66.699399999999997"/>
        <n v="54.983899999999998"/>
        <n v="35.005400000000002"/>
        <n v="30.311299999999999"/>
        <n v="29.634799999999998"/>
        <n v="20.908200000000001"/>
        <n v="22.4312"/>
        <n v="30.920100000000001"/>
        <n v="28.1142"/>
        <n v="26.359200000000001"/>
        <n v="35.304099999999998"/>
        <n v="33.834099999999999"/>
        <n v="29.321400000000001"/>
        <n v="26.027200000000001"/>
        <n v="29.152799999999999"/>
        <n v="34.057499999999997"/>
        <n v="31.901700000000002"/>
        <n v="24.8935"/>
        <n v="23.22"/>
        <n v="10.6937"/>
        <n v="15.5626"/>
        <n v="18.248100000000001"/>
        <n v="11.3012"/>
        <n v="19.9893"/>
        <n v="23.882200000000001"/>
        <n v="22.0276"/>
        <n v="33.5488"/>
        <n v="36.702300000000001"/>
        <n v="33.643500000000003"/>
        <n v="22.142600000000002"/>
        <n v="28.535399999999999"/>
        <n v="17.0288"/>
        <n v="16.671700000000001"/>
        <n v="16.921399999999998"/>
        <n v="8.0922000000000001"/>
        <n v="13.623699999999999"/>
        <n v="13.3643"/>
        <n v="12.718500000000001"/>
        <n v="14.6965"/>
        <n v="15.465199999999999"/>
        <n v="15.928100000000001"/>
        <n v="18.392800000000001"/>
        <n v="18.109100000000002"/>
        <n v="7.8818000000000001"/>
        <n v="14.001200000000001"/>
        <n v="14.4887"/>
        <n v="11.231400000000001"/>
        <n v="13.369300000000001"/>
        <n v="11.223000000000001"/>
        <n v="9.5228000000000002"/>
        <n v="8.9251000000000005"/>
        <n v="5.08"/>
        <n v="16.244599999999998"/>
        <n v="10.015700000000001"/>
        <n v="-5.5693999999999999"/>
        <n v="4.0096999999999996"/>
        <n v="0.11210000000000001"/>
        <n v="-6.2251000000000003"/>
        <n v="-0.24030000000000001"/>
        <n v="1.8601000000000001"/>
        <n v="5.4690000000000003"/>
        <n v="6.3093000000000004"/>
        <n v="2.5133999999999999"/>
        <n v="10.6183"/>
        <n v="6.6699000000000002"/>
        <n v="-6.0640999999999998"/>
        <n v="2.5615000000000001"/>
        <n v="-0.14799999999999999"/>
        <n v="-2.2275"/>
        <n v="-141.83369999999999"/>
        <n v="-52.987699999999997"/>
        <n v="4.4593999999999996"/>
        <n v="4.0887000000000002"/>
        <n v="2.7111999999999998"/>
        <n v="4.6699000000000002"/>
        <n v="3.0316999999999998"/>
        <n v="3.2117"/>
        <n v="3.5573999999999999"/>
        <n v="4.8681000000000001"/>
        <n v="5.6623999999999999"/>
        <n v="25.983699999999999"/>
        <n v="884.8605"/>
        <n v="-742.10519999999997"/>
        <n v="-84.500500000000002"/>
        <n v="-22.244399999999999"/>
        <n v="-20.606100000000001"/>
        <n v="-48.530099999999997"/>
        <n v="1.2685"/>
        <n v="2.5150000000000001"/>
        <n v="0.83679999999999999"/>
        <n v="20.6601"/>
        <n v="24.322299999999998"/>
        <n v="17.282299999999999"/>
        <n v="23.257100000000001"/>
        <n v="23.872"/>
        <n v="19.766300000000001"/>
        <n v="19.7958"/>
        <n v="14.5123"/>
        <n v="17.121099999999998"/>
        <n v="18.5335"/>
        <n v="18.892299999999999"/>
        <n v="20.747599999999998"/>
        <n v="18.928699999999999"/>
        <n v="18.5044"/>
        <n v="1.284"/>
        <n v="1.6696"/>
        <n v="0.60199999999999998"/>
        <n v="0.92010000000000003"/>
        <n v="0.61860000000000004"/>
        <n v="0.38619999999999999"/>
        <n v="0.8387"/>
        <n v="0.251"/>
        <n v="0.36709999999999998"/>
        <n v="0.54700000000000004"/>
        <n v="-8.2900000000000001E-2"/>
        <n v="1.3680000000000001"/>
        <n v="1.5241"/>
        <n v="5.1862000000000004"/>
        <n v="13.7341"/>
        <n v="25.965199999999999"/>
        <n v="18.9526"/>
        <n v="19.697099999999999"/>
        <n v="36.548999999999999"/>
        <n v="32.222900000000003"/>
        <n v="21.424900000000001"/>
        <n v="13.4472"/>
        <n v="10.849399999999999"/>
        <n v="7.5468000000000002"/>
        <n v="11.6066"/>
        <n v="13.9445"/>
        <n v="7.8987999999999996"/>
        <n v="-2.5278"/>
        <n v="-1.2412000000000001"/>
        <n v="5.6870000000000003"/>
        <n v="15.413399999999999"/>
        <n v="18.183299999999999"/>
        <n v="20.472300000000001"/>
        <n v="21.124600000000001"/>
        <n v="10.207800000000001"/>
        <n v="11.874499999999999"/>
        <n v="14.0777"/>
        <n v="17.231000000000002"/>
        <n v="13.4694"/>
        <n v="17.104700000000001"/>
        <n v="24.421199999999999"/>
        <n v="22.257200000000001"/>
        <n v="9.9855999999999998"/>
        <n v="-1.2767999999999999"/>
        <n v="17.8428"/>
        <n v="17.034800000000001"/>
        <n v="13.5573"/>
        <n v="15.0245"/>
        <n v="5.7824"/>
        <n v="8.7882999999999996"/>
        <n v="2.7578999999999998"/>
        <n v="-1.268"/>
        <n v="2.1179999999999999"/>
        <n v="-0.34589999999999999"/>
        <n v="7.8757000000000001"/>
        <n v="13.6736"/>
        <n v="17.158100000000001"/>
      </sharedItems>
    </cacheField>
    <cacheField name="Net Profit Margin" numFmtId="0">
      <sharedItems containsSemiMixedTypes="0" containsString="0" containsNumber="1" minValue="-44.696100000000001" maxValue="36.686300000000003" count="161">
        <n v="25.3096"/>
        <n v="25.881799999999998"/>
        <n v="20.913599999999999"/>
        <n v="21.238099999999999"/>
        <n v="22.414200000000001"/>
        <n v="21.092400000000001"/>
        <n v="21.186800000000002"/>
        <n v="22.845800000000001"/>
        <n v="21.6144"/>
        <n v="21.670500000000001"/>
        <n v="26.665099999999999"/>
        <n v="23.9466"/>
        <n v="21.484100000000002"/>
        <n v="19.1936"/>
        <n v="34.1462"/>
        <n v="36.686300000000003"/>
        <n v="36.451700000000002"/>
        <n v="30.962499999999999"/>
        <n v="31.181699999999999"/>
        <n v="15.0154"/>
        <n v="26.394100000000002"/>
        <n v="22.5322"/>
        <n v="13.029500000000001"/>
        <n v="25.421199999999999"/>
        <n v="28.0839"/>
        <n v="23.029499999999999"/>
        <n v="33.098399999999998"/>
        <n v="30.023700000000002"/>
        <n v="24.931100000000001"/>
        <n v="21.203800000000001"/>
        <n v="29.511700000000001"/>
        <n v="22.061900000000001"/>
        <n v="21.2181"/>
        <n v="22.464700000000001"/>
        <n v="11.4221"/>
        <n v="21.577000000000002"/>
        <n v="21.104399999999998"/>
        <n v="21.417899999999999"/>
        <n v="22.9345"/>
        <n v="23.3215"/>
        <n v="25.687899999999999"/>
        <n v="29.006499999999999"/>
        <n v="27.567499999999999"/>
        <n v="8.7905999999999995"/>
        <n v="16.432200000000002"/>
        <n v="19.586099999999998"/>
        <n v="13.836399999999999"/>
        <n v="13.3131"/>
        <n v="13.708600000000001"/>
        <n v="12.922000000000001"/>
        <n v="13.278600000000001"/>
        <n v="5.2211999999999996"/>
        <n v="18.156500000000001"/>
        <n v="17.978400000000001"/>
        <n v="-13.6569"/>
        <n v="6.6859999999999999"/>
        <n v="-1.2699999999999999E-2"/>
        <n v="-12.2859"/>
        <n v="-1.6213"/>
        <n v="3.7650000000000001"/>
        <n v="11.6899"/>
        <n v="13.190799999999999"/>
        <n v="4.8277000000000001"/>
        <n v="30.427800000000001"/>
        <n v="2.8092999999999999"/>
        <n v="-16.2286"/>
        <n v="8.3026"/>
        <n v="-0.49409999999999998"/>
        <n v="-7.1363000000000003"/>
        <n v="-44.696100000000001"/>
        <n v="-40.8795"/>
        <n v="9.6060999999999996"/>
        <n v="7.8852000000000002"/>
        <n v="5.1921999999999997"/>
        <n v="8.4025999999999996"/>
        <n v="5.2186000000000003"/>
        <n v="5.4255000000000004"/>
        <n v="5.6432000000000002"/>
        <n v="7.9401999999999999"/>
        <n v="9.1052"/>
        <n v="-2.2930999999999999"/>
        <n v="-10.032500000000001"/>
        <n v="-4.4897999999999998"/>
        <n v="-5.3914"/>
        <n v="-3.7719999999999998"/>
        <n v="-2.3334999999999999"/>
        <n v="-7.5541"/>
        <n v="0.31169999999999998"/>
        <n v="0.54200000000000004"/>
        <n v="0.1133"/>
        <n v="26.646699999999999"/>
        <n v="32.490299999999998"/>
        <n v="24.628"/>
        <n v="28.202999999999999"/>
        <n v="27.8687"/>
        <n v="22.7529"/>
        <n v="19.033899999999999"/>
        <n v="17.822800000000001"/>
        <n v="17.338100000000001"/>
        <n v="19.874600000000001"/>
        <n v="19.823699999999999"/>
        <n v="20.377300000000002"/>
        <n v="20.5457"/>
        <n v="20.0091"/>
        <n v="21.161999999999999"/>
        <n v="28.216699999999999"/>
        <n v="9.0146999999999995"/>
        <n v="16.602399999999999"/>
        <n v="7.0876999999999999"/>
        <n v="-10.2561"/>
        <n v="9.1781000000000006"/>
        <n v="-1.3882000000000001"/>
        <n v="-0.51900000000000002"/>
        <n v="2.1758000000000002"/>
        <n v="-4.0909000000000004"/>
        <n v="12.235200000000001"/>
        <n v="14.4688"/>
        <n v="12.0558"/>
        <n v="16.1934"/>
        <n v="36.233899999999998"/>
        <n v="25.978999999999999"/>
        <n v="25.609100000000002"/>
        <n v="35.344799999999999"/>
        <n v="31.367100000000001"/>
        <n v="24.11"/>
        <n v="12.2555"/>
        <n v="13.4772"/>
        <n v="10.6538"/>
        <n v="13.142899999999999"/>
        <n v="14.534800000000001"/>
        <n v="7.1443000000000003"/>
        <n v="-2.0438000000000001"/>
        <n v="-0.87709999999999999"/>
        <n v="12.7097"/>
        <n v="25.1417"/>
        <n v="26.839400000000001"/>
        <n v="29.247599999999998"/>
        <n v="29.715699999999998"/>
        <n v="15.297700000000001"/>
        <n v="17.370799999999999"/>
        <n v="20.630500000000001"/>
        <n v="20.948599999999999"/>
        <n v="18.2515"/>
        <n v="20.631399999999999"/>
        <n v="23.967099999999999"/>
        <n v="26.279699999999998"/>
        <n v="12.4377"/>
        <n v="-0.52959999999999996"/>
        <n v="7.1013999999999999"/>
        <n v="5.5251999999999999"/>
        <n v="4.1308999999999996"/>
        <n v="4.3253000000000004"/>
        <n v="1.7052"/>
        <n v="1.7435"/>
        <n v="0.55700000000000005"/>
        <n v="-0.27079999999999999"/>
        <n v="0.36799999999999999"/>
        <n v="-6.3799999999999996E-2"/>
        <n v="1.3125"/>
        <n v="3.3679999999999999"/>
        <n v="3.6802999999999999"/>
      </sharedItems>
    </cacheField>
    <cacheField name="Free Cash Flow per Share" numFmtId="0">
      <sharedItems containsSemiMixedTypes="0" containsString="0" containsNumber="1" minValue="-121.5022" maxValue="137.3287" count="160">
        <n v="1.3146"/>
        <n v="1.3261000000000001"/>
        <n v="1.0183"/>
        <n v="-3.8800000000000001E-2"/>
        <n v="0.74139999999999995"/>
        <n v="3.3000000000000002E-2"/>
        <n v="-0.59009999999999996"/>
        <n v="0.97430000000000005"/>
        <n v="0.30320000000000003"/>
        <n v="0.1363"/>
        <n v="0.33939999999999998"/>
        <n v="0.62780000000000002"/>
        <n v="0.28570000000000001"/>
        <n v="0.35499999999999998"/>
        <n v="-0.68079999999999996"/>
        <n v="1.2643"/>
        <n v="1.4886999999999999"/>
        <n v="0.9526"/>
        <n v="0.79679999999999995"/>
        <n v="0.13170000000000001"/>
        <n v="0.88870000000000005"/>
        <n v="0.24349999999999999"/>
        <n v="-0.34250000000000003"/>
        <n v="0.31519999999999998"/>
        <n v="-0.54559999999999997"/>
        <n v="0.57979999999999998"/>
        <n v="0.3921"/>
        <n v="0.70569999999999999"/>
        <n v="1.7695000000000001"/>
        <n v="-0.36130000000000001"/>
        <n v="1.7122999999999999"/>
        <n v="0.84299999999999997"/>
        <n v="0.55659999999999998"/>
        <n v="-7.0499999999999993E-2"/>
        <n v="-0.151"/>
        <n v="0.62490000000000001"/>
        <n v="0.3054"/>
        <n v="4.6300000000000001E-2"/>
        <n v="-0.23730000000000001"/>
        <n v="0.15390000000000001"/>
        <n v="0.3039"/>
        <n v="-0.1195"/>
        <n v="0.66569999999999996"/>
        <n v="0.28799999999999998"/>
        <n v="-0.48430000000000001"/>
        <n v="1.7623"/>
        <n v="-1.0250999999999999"/>
        <n v="2.347"/>
        <n v="-0.51690000000000003"/>
        <n v="0.53820000000000001"/>
        <n v="9.35E-2"/>
        <n v="0.10299999999999999"/>
        <n v="-1.9207000000000001"/>
        <n v="6.0658000000000003"/>
        <n v="3.2256"/>
        <n v="-1.5986"/>
        <n v="7.9684999999999997"/>
        <n v="-11.611000000000001"/>
        <n v="1.0537000000000001"/>
        <n v="-1.3029999999999999"/>
        <n v="-0.50070000000000003"/>
        <n v="1.7808999999999999"/>
        <n v="2.2237"/>
        <n v="-121.5022"/>
        <n v="-15.871499999999999"/>
        <n v="137.3287"/>
        <n v="-1.6E-2"/>
        <n v="18.602499999999999"/>
        <n v="-18.501300000000001"/>
        <n v="0.57289999999999996"/>
        <n v="-4.0631000000000004"/>
        <n v="3.2498"/>
        <n v="0.2656"/>
        <n v="-0.42849999999999999"/>
        <n v="1.5681"/>
        <n v="-4.6071"/>
        <n v="1.3509"/>
        <n v="0.77659999999999996"/>
        <n v="0.86040000000000005"/>
        <n v="-2.3807999999999998"/>
        <n v="3.0663"/>
        <n v="-13.9382"/>
        <n v="14.901400000000001"/>
        <n v="-7.4240000000000004"/>
        <n v="-2.7683"/>
        <n v="4.5387000000000004"/>
        <n v="-3.5464000000000002"/>
        <n v="-12.4078"/>
        <n v="5.4337"/>
        <n v="4.5747999999999998"/>
        <n v="-2.1322999999999999"/>
        <n v="3.3856999999999999"/>
        <n v="-1.4852000000000001"/>
        <n v="2.1046"/>
        <n v="0.84360000000000002"/>
        <n v="-0.27929999999999999"/>
        <n v="-0.21"/>
        <n v="0.93540000000000001"/>
        <n v="2.2100000000000002E-2"/>
        <n v="0.43109999999999998"/>
        <n v="-0.3911"/>
        <n v="0.33689999999999998"/>
        <n v="0.46300000000000002"/>
        <n v="3.4304999999999999"/>
        <n v="-6.5476999999999999"/>
        <n v="-1.4282999999999999"/>
        <n v="20.434100000000001"/>
        <n v="-6.2895000000000003"/>
        <n v="-15.571199999999999"/>
        <n v="14.5974"/>
        <n v="-2.4382000000000001"/>
        <n v="9.9995999999999992"/>
        <n v="6.6557000000000004"/>
        <n v="-3.8584999999999998"/>
        <n v="-21.998000000000001"/>
        <n v="6.1199000000000003"/>
        <n v="-12.8733"/>
        <n v="21.5535"/>
        <n v="-1.6890000000000001"/>
        <n v="1.3378000000000001"/>
        <n v="0.1419"/>
        <n v="0.47099999999999997"/>
        <n v="0.1057"/>
        <n v="0.57250000000000001"/>
        <n v="9.7500000000000003E-2"/>
        <n v="0.124"/>
        <n v="0.1033"/>
        <n v="-2.2000000000000001E-3"/>
        <n v="-5.6099999999999997E-2"/>
        <n v="6.7100000000000007E-2"/>
        <n v="5.8799999999999998E-2"/>
        <n v="0.25879999999999997"/>
        <n v="-7.22E-2"/>
        <n v="-4.5640000000000001"/>
        <n v="-2.8277999999999999"/>
        <n v="1.2739"/>
        <n v="0.75390000000000001"/>
        <n v="0.89459999999999995"/>
        <n v="-0.36220000000000002"/>
        <n v="0.1101"/>
        <n v="0.34920000000000001"/>
        <n v="6.5100000000000005E-2"/>
        <n v="0.45200000000000001"/>
        <n v="-0.13139999999999999"/>
        <n v="0.83740000000000003"/>
        <n v="1.1789000000000001"/>
        <n v="-0.25459999999999999"/>
        <n v="-3.9226000000000001"/>
        <n v="0.4798"/>
        <n v="0.622"/>
        <n v="1.0974999999999999"/>
        <n v="-0.2387"/>
        <n v="0.30030000000000001"/>
        <n v="0.56999999999999995"/>
        <n v="-7.4999999999999997E-3"/>
        <n v="0.17480000000000001"/>
        <n v="-0.18329999999999999"/>
        <n v="-4.9000000000000002E-2"/>
        <n v="-5.4399999999999997E-2"/>
        <n v="0.33029999999999998"/>
      </sharedItems>
    </cacheField>
    <cacheField name="Return on Tangible Equity" numFmtId="0">
      <sharedItems containsSemiMixedTypes="0" containsString="0" containsNumber="1" minValue="-554.17409999999995" maxValue="1197.7270000000001" count="161">
        <n v="196.9589"/>
        <n v="150.07130000000001"/>
        <n v="87.866399999999999"/>
        <n v="61.064500000000002"/>
        <n v="55.560099999999998"/>
        <n v="36.0702"/>
        <n v="38.190600000000003"/>
        <n v="48.387799999999999"/>
        <n v="38.438000000000002"/>
        <n v="31.442499999999999"/>
        <n v="36.980600000000003"/>
        <n v="35.911499999999997"/>
        <n v="30.001300000000001"/>
        <n v="26.405200000000001"/>
        <n v="56.106400000000001"/>
        <n v="82.920699999999997"/>
        <n v="72.529799999999994"/>
        <n v="65.200599999999994"/>
        <n v="74.6661"/>
        <n v="42.509399999999999"/>
        <n v="59.998100000000001"/>
        <n v="40.758499999999998"/>
        <n v="20.911000000000001"/>
        <n v="35.219200000000001"/>
        <n v="35.720399999999998"/>
        <n v="34.132800000000003"/>
        <n v="52.904600000000002"/>
        <n v="57.505400000000002"/>
        <n v="57.594099999999997"/>
        <n v="26.642399999999999"/>
        <n v="33.456099999999999"/>
        <n v="20.142199999999999"/>
        <n v="19.203299999999999"/>
        <n v="19.5124"/>
        <n v="9.5158000000000005"/>
        <n v="16.3323"/>
        <n v="16.248100000000001"/>
        <n v="16.281400000000001"/>
        <n v="18.867100000000001"/>
        <n v="21.512"/>
        <n v="19.7822"/>
        <n v="21.840699999999998"/>
        <n v="21.499700000000001"/>
        <n v="29.2256"/>
        <n v="46.627899999999997"/>
        <n v="42.5304"/>
        <n v="24.7409"/>
        <n v="24.852"/>
        <n v="15.6264"/>
        <n v="13.417"/>
        <n v="13.159000000000001"/>
        <n v="8.5457999999999998"/>
        <n v="26.6982"/>
        <n v="14.3995"/>
        <n v="-8.6801999999999992"/>
        <n v="6.1117999999999997"/>
        <n v="0.1797"/>
        <n v="-9.2225999999999999"/>
        <n v="-0.33700000000000002"/>
        <n v="2.4630999999999998"/>
        <n v="7.0606"/>
        <n v="8.9116999999999997"/>
        <n v="3.7488999999999999"/>
        <n v="18.4222"/>
        <n v="11.704499999999999"/>
        <n v="-13.950699999999999"/>
        <n v="7.8613"/>
        <n v="-0.41460000000000002"/>
        <n v="-6.1356000000000002"/>
        <n v="-141.83369999999999"/>
        <n v="-52.987699999999997"/>
        <n v="8.5251000000000001"/>
        <n v="7.7342000000000004"/>
        <n v="5.2769000000000004"/>
        <n v="9.0625"/>
        <n v="5.6736000000000004"/>
        <n v="6.2283999999999997"/>
        <n v="6.9457000000000004"/>
        <n v="9.6496999999999993"/>
        <n v="11.657999999999999"/>
        <n v="7.4225000000000003"/>
        <n v="39.561799999999998"/>
        <n v="27.285900000000002"/>
        <n v="54.6663"/>
        <n v="106.6922"/>
        <n v="1197.7270000000001"/>
        <n v="-554.17409999999995"/>
        <n v="3.2867999999999999"/>
        <n v="5.7911000000000001"/>
        <n v="1.9704999999999999"/>
        <n v="-69.379400000000004"/>
        <n v="-102.19"/>
        <n v="-44.635800000000003"/>
        <n v="-55.3414"/>
        <n v="-68.968199999999996"/>
        <n v="-91.936499999999995"/>
        <n v="-103.20869999999999"/>
        <n v="99.074799999999996"/>
        <n v="47.0227"/>
        <n v="42.520400000000002"/>
        <n v="43.754800000000003"/>
        <n v="46.886800000000001"/>
        <n v="41.054600000000001"/>
        <n v="39.203400000000002"/>
        <n v="9.7883999999999993"/>
        <n v="11.6267"/>
        <n v="4.1759000000000004"/>
        <n v="5.8289"/>
        <n v="4.2504"/>
        <n v="2.2366999999999999"/>
        <n v="3.5150999999999999"/>
        <n v="1.0808"/>
        <n v="1.4624999999999999"/>
        <n v="2.3052000000000001"/>
        <n v="-0.42880000000000001"/>
        <n v="5.2431999999999999"/>
        <n v="7.0387000000000004"/>
        <n v="22.985099999999999"/>
        <n v="27.209900000000001"/>
        <n v="48.945999999999998"/>
        <n v="43.480899999999998"/>
        <n v="24.235099999999999"/>
        <n v="47.712899999999998"/>
        <n v="44.802199999999999"/>
        <n v="33.055599999999998"/>
        <n v="16.662099999999999"/>
        <n v="17.6356"/>
        <n v="12.5099"/>
        <n v="14.519500000000001"/>
        <n v="18.281600000000001"/>
        <n v="10.034000000000001"/>
        <n v="-3.1261000000000001"/>
        <n v="-1.5999000000000001"/>
        <n v="11.506"/>
        <n v="32.486400000000003"/>
        <n v="46.4"/>
        <n v="52.097700000000003"/>
        <n v="55.092399999999998"/>
        <n v="30.1113"/>
        <n v="24.197199999999999"/>
        <n v="24.9236"/>
        <n v="28.857399999999998"/>
        <n v="22.585899999999999"/>
        <n v="31.212800000000001"/>
        <n v="42.586399999999998"/>
        <n v="26.031500000000001"/>
        <n v="11.718500000000001"/>
        <n v="-2.1644999999999999"/>
        <n v="27.152999999999999"/>
        <n v="27.212399999999999"/>
        <n v="24.495799999999999"/>
        <n v="34.7333"/>
        <n v="21.122599999999998"/>
        <n v="15.2958"/>
        <n v="6.1921999999999997"/>
        <n v="-3.2471000000000001"/>
        <n v="3.8641000000000001"/>
        <n v="-0.6915"/>
        <n v="10.8756"/>
        <n v="20.888500000000001"/>
        <n v="22.421099999999999"/>
      </sharedItems>
    </cacheField>
    <cacheField name="Number of Employees" numFmtId="0">
      <sharedItems containsSemiMixedTypes="0" containsString="0" containsNumber="1" containsInteger="1" minValue="5420" maxValue="1608000" count="149">
        <n v="164000"/>
        <n v="154000"/>
        <n v="147000"/>
        <n v="137000"/>
        <n v="132000"/>
        <n v="123000"/>
        <n v="116000"/>
        <n v="110000"/>
        <n v="97000"/>
        <n v="84400"/>
        <n v="76100"/>
        <n v="63300"/>
        <n v="49400"/>
        <n v="36800"/>
        <n v="221000"/>
        <n v="181000"/>
        <n v="163000"/>
        <n v="144000"/>
        <n v="131000"/>
        <n v="124000"/>
        <n v="114000"/>
        <n v="118000"/>
        <n v="128000"/>
        <n v="99000"/>
        <n v="94000"/>
        <n v="90000"/>
        <n v="190234"/>
        <n v="156500"/>
        <n v="135301"/>
        <n v="118899"/>
        <n v="98771"/>
        <n v="80110"/>
        <n v="72053"/>
        <n v="61814"/>
        <n v="53600"/>
        <n v="47756"/>
        <n v="53861"/>
        <n v="32467"/>
        <n v="24400"/>
        <n v="19835"/>
        <n v="29900"/>
        <n v="30900"/>
        <n v="26500"/>
        <n v="23200"/>
        <n v="21800"/>
        <n v="18700"/>
        <n v="18100"/>
        <n v="16800"/>
        <n v="15800"/>
        <n v="26200"/>
        <n v="36600"/>
        <n v="45000"/>
        <n v="46000"/>
        <n v="49600"/>
        <n v="49800"/>
        <n v="56400"/>
        <n v="66400"/>
        <n v="65000"/>
        <n v="64000"/>
        <n v="63000"/>
        <n v="57000"/>
        <n v="96000"/>
        <n v="26010"/>
        <n v="26000"/>
        <n v="24000"/>
        <n v="23000"/>
        <n v="22581"/>
        <n v="21166"/>
        <n v="20593"/>
        <n v="19274"/>
        <n v="19424"/>
        <n v="19425"/>
        <n v="89900"/>
        <n v="140000"/>
        <n v="178000"/>
        <n v="196000"/>
        <n v="226000"/>
        <n v="246000"/>
        <n v="264000"/>
        <n v="280000"/>
        <n v="290000"/>
        <n v="291000"/>
        <n v="150000"/>
        <n v="200000"/>
        <n v="205000"/>
        <n v="210000"/>
        <n v="235000"/>
        <n v="375000"/>
        <n v="420000"/>
        <n v="440000"/>
        <n v="400000"/>
        <n v="385000"/>
        <n v="87400"/>
        <n v="81600"/>
        <n v="83000"/>
        <n v="80800"/>
        <n v="83500"/>
        <n v="79900"/>
        <n v="119300"/>
        <n v="129400"/>
        <n v="132300"/>
        <n v="139600"/>
        <n v="139200"/>
        <n v="141100"/>
        <n v="147500"/>
        <n v="144200"/>
        <n v="26196"/>
        <n v="22473"/>
        <n v="18975"/>
        <n v="13775"/>
        <n v="13277"/>
        <n v="11528"/>
        <n v="10299"/>
        <n v="9227"/>
        <n v="9228"/>
        <n v="8808"/>
        <n v="7974"/>
        <n v="7133"/>
        <n v="6029"/>
        <n v="5706"/>
        <n v="5420"/>
        <n v="131900"/>
        <n v="121100"/>
        <n v="110600"/>
        <n v="110800"/>
        <n v="107400"/>
        <n v="102700"/>
        <n v="106000"/>
        <n v="107300"/>
        <n v="106700"/>
        <n v="107600"/>
        <n v="105000"/>
        <n v="100100"/>
        <n v="82500"/>
        <n v="79800"/>
        <n v="1541000"/>
        <n v="1608000"/>
        <n v="1298000"/>
        <n v="798000"/>
        <n v="647500"/>
        <n v="566000"/>
        <n v="341400"/>
        <n v="230800"/>
        <n v="154100"/>
        <n v="117300"/>
        <n v="88400"/>
        <n v="56200"/>
        <n v="33700"/>
        <n v="24300"/>
      </sharedItems>
    </cacheField>
    <cacheField name="Inflation Rate(in US)" numFmtId="0">
      <sharedItems containsSemiMixedTypes="0" containsString="0" containsNumber="1" minValue="-0.35549999999999998" maxValue="8.0028000000000006" count="15">
        <n v="8.0028000000000006"/>
        <n v="4.6978999999999997"/>
        <n v="1.2336"/>
        <n v="1.8122"/>
        <n v="2.4426000000000001"/>
        <n v="2.1301000000000001"/>
        <n v="1.2616000000000001"/>
        <n v="0.1186"/>
        <n v="1.6222000000000001"/>
        <n v="1.4648000000000001"/>
        <n v="2.0693000000000001"/>
        <n v="3.1568000000000001"/>
        <n v="1.64"/>
        <n v="-0.35549999999999998"/>
        <n v="3.7"/>
      </sharedItems>
    </cacheField>
    <cacheField name="Net Margin Calculated" numFmtId="0">
      <sharedItems containsSemiMixedTypes="0" containsString="0" containsNumber="1" minValue="-0.44696129371241755" maxValue="0.36686336813436221" count="161">
        <n v="0.25309640705199732"/>
        <n v="0.25881793355694238"/>
        <n v="0.20913611278072236"/>
        <n v="0.21238094505984456"/>
        <n v="0.22414202074587247"/>
        <n v="0.21092420845075338"/>
        <n v="0.211867983064288"/>
        <n v="0.22845773698735639"/>
        <n v="0.21614376760852322"/>
        <n v="0.21670469837926393"/>
        <n v="0.26665090602397323"/>
        <n v="0.2394664153941376"/>
        <n v="0.21484093522422384"/>
        <n v="0.19193567183311969"/>
        <n v="0.34146237878394642"/>
        <n v="0.36686336813436221"/>
        <n v="0.36451739564989766"/>
        <n v="0.30962486452470023"/>
        <n v="0.31181710544090652"/>
        <n v="0.15015404131931859"/>
        <n v="0.26394052044609667"/>
        <n v="0.22532198257893235"/>
        <n v="0.13029493481513144"/>
        <n v="0.25421210829983992"/>
        <n v="0.28083854641678119"/>
        <n v="0.23029448069123612"/>
        <n v="0.3309838010951775"/>
        <n v="0.30023686063632288"/>
        <n v="0.24931122405325393"/>
        <n v="0.21203807153261961"/>
        <n v="0.29511677282377918"/>
        <n v="0.22061941520980458"/>
        <n v="0.21218112284300339"/>
        <n v="0.22464716157843576"/>
        <n v="0.11422128005051645"/>
        <n v="0.2157701169797944"/>
        <n v="0.21104428649535265"/>
        <n v="0.21417857305192345"/>
        <n v="0.22934490895008916"/>
        <n v="0.23321531744825039"/>
        <n v="0.25687903970452447"/>
        <n v="0.29006514102520375"/>
        <n v="0.2756754471269714"/>
        <n v="8.7906097826876958E-2"/>
        <n v="0.16432146939419021"/>
        <n v="0.19586091171809453"/>
        <n v="0.13836371820841772"/>
        <n v="0.13313054171251051"/>
        <n v="0.13708568810142049"/>
        <n v="0.1292197011621472"/>
        <n v="0.13278546712802769"/>
        <n v="5.2211838006230527E-2"/>
        <n v="0.18156528518525081"/>
        <n v="0.1797836986380314"/>
        <n v="-0.13656941649899396"/>
        <n v="6.6859647006794518E-2"/>
        <n v="-1.2661166093397202E-4"/>
        <n v="-0.122859450726979"/>
        <n v="-1.6212500238699943E-2"/>
        <n v="3.764980197850052E-2"/>
        <n v="0.11689904667267025"/>
        <n v="0.1319075413073148"/>
        <n v="4.8277024180638638E-2"/>
        <n v="0.30427770524537284"/>
        <n v="2.8093204630023755E-2"/>
        <n v="-0.16228610812888516"/>
        <n v="8.3025830258302583E-2"/>
        <n v="-4.9413816490650134E-3"/>
        <n v="-7.1362824191889107E-2"/>
        <n v="-0.44696129371241755"/>
        <n v="-0.40879527418103706"/>
        <n v="9.6060694484972273E-2"/>
        <n v="7.8852032152156679E-2"/>
        <n v="5.1921820234064039E-2"/>
        <n v="8.4025746050321828E-2"/>
        <n v="5.2186177715091681E-2"/>
        <n v="5.4255319148936172E-2"/>
        <n v="5.6432201123295E-2"/>
        <n v="7.9401777328227729E-2"/>
        <n v="9.105157101276215E-2"/>
        <n v="-2.2931385462818824E-2"/>
        <n v="-0.10032523263167405"/>
        <n v="-4.4897796866300806E-2"/>
        <n v="-5.3913712417462657E-2"/>
        <n v="-3.7719686083784683E-2"/>
        <n v="-2.3335173382847393E-2"/>
        <n v="-7.5540693338465609E-2"/>
        <n v="3.1173823363960249E-3"/>
        <n v="5.4197416974169745E-3"/>
        <n v="1.1332050459696387E-3"/>
        <n v="0.26646709169808391"/>
        <n v="0.32490343583273407"/>
        <n v="0.24628015701954414"/>
        <n v="0.28202991893055734"/>
        <n v="0.27868698225130423"/>
        <n v="0.22752887767085589"/>
        <n v="0.19033868223004721"/>
        <n v="0.17822767874709794"/>
        <n v="0.17338099871361781"/>
        <n v="0.19874616181059357"/>
        <n v="0.1982370225269344"/>
        <n v="0.20377323557727914"/>
        <n v="0.20545720385800806"/>
        <n v="0.20009057055050186"/>
        <n v="0.20127422891219665"/>
        <n v="0.2905652328545637"/>
        <n v="7.0109354884186584E-2"/>
        <n v="0.15134987093574301"/>
        <n v="6.59538223181141E-2"/>
        <n v="-9.1193748792003745E-2"/>
        <n v="8.1627886658682036E-2"/>
        <n v="-1.272884615186967E-2"/>
        <n v="-4.7453244763617473E-3"/>
        <n v="1.936638536772731E-2"/>
        <n v="-3.5843401889736004E-2"/>
        <n v="0.1297195111120388"/>
        <n v="0.14346522450406454"/>
        <n v="0.11953959859140842"/>
        <n v="0.16193371394676356"/>
        <n v="0.36233930296499961"/>
        <n v="0.25979010494752625"/>
        <n v="0.25609085913170909"/>
        <n v="0.35344827586206895"/>
        <n v="0.3136709903232448"/>
        <n v="0.24109985528219971"/>
        <n v="0.12255489021956088"/>
        <n v="0.13477146518581803"/>
        <n v="0.10653753026634383"/>
        <n v="0.13142876234270737"/>
        <n v="0.14534771744377717"/>
        <n v="7.1443388087237089E-2"/>
        <n v="-2.0438335820974041E-2"/>
        <n v="-8.7714559927868571E-3"/>
        <n v="0.1270974085704317"/>
        <n v="0.25141729094958493"/>
        <n v="0.26839354283586114"/>
        <n v="0.2924755089279511"/>
        <n v="0.29715729448961159"/>
        <n v="0.15297716734914996"/>
        <n v="0.17370805058346103"/>
        <n v="0.20630476018426519"/>
        <n v="0.20948630749955252"/>
        <n v="0.18251498823707976"/>
        <n v="0.20631409234922479"/>
        <n v="0.23967110502046335"/>
        <n v="0.26279714829333151"/>
        <n v="0.12437725965781307"/>
        <n v="-5.2958950004183018E-3"/>
        <n v="7.1014128755145567E-2"/>
        <n v="5.5252496995316841E-2"/>
        <n v="4.1308703060722513E-2"/>
        <n v="4.3252736305590261E-2"/>
        <n v="1.7052162864178651E-2"/>
        <n v="1.7435490157147373E-2"/>
        <n v="5.5697811337681999E-3"/>
        <n v="-2.7082303231896437E-3"/>
        <n v="3.6802234997045076E-3"/>
        <n v="-6.3837100813513828E-4"/>
        <n v="1.3124779000353599E-2"/>
        <n v="3.3680271313296692E-2"/>
        <n v="3.6802807132073935E-2"/>
      </sharedItems>
    </cacheField>
    <cacheField name="Margin Difference" numFmtId="0">
      <sharedItems containsSemiMixedTypes="0" containsString="0" containsNumber="1" minValue="-2.0037645115813412" maxValue="1.1367251207996247" count="161">
        <n v="4.0705199733537256E-5"/>
        <n v="-6.644305759806457E-6"/>
        <n v="1.1278072236109438E-5"/>
        <n v="-5.4940155429505921E-6"/>
        <n v="2.0745872468808102E-6"/>
        <n v="2.0845075336950458E-5"/>
        <n v="-1.6935712032761785E-6"/>
        <n v="-2.6301264362871279E-5"/>
        <n v="-2.3239147676434868E-5"/>
        <n v="-3.0162073606732065E-5"/>
        <n v="-9.397602674710015E-6"/>
        <n v="4.1539413761171318E-5"/>
        <n v="-6.4775776174030852E-6"/>
        <n v="-3.2816688030123942E-5"/>
        <n v="3.7878394643087177E-5"/>
        <n v="3.6813436217641993E-5"/>
        <n v="3.9564989762652658E-5"/>
        <n v="-1.3547529974289318E-5"/>
        <n v="1.0544090653041849E-5"/>
        <n v="4.1319318597743404E-6"/>
        <n v="-4.7955390336085202E-5"/>
        <n v="-1.7421067646239408E-6"/>
        <n v="-6.5184868578427313E-6"/>
        <n v="1.0829983992266534E-5"/>
        <n v="-4.5358321880684116E-5"/>
        <n v="-5.1930876388439628E-5"/>
        <n v="-1.989048224970702E-5"/>
        <n v="-1.3936367714961762E-5"/>
        <n v="2.2405325392327313E-5"/>
        <n v="7.1532619614345094E-6"/>
        <n v="-2.2717622083945344E-5"/>
        <n v="4.152098045651087E-5"/>
        <n v="1.2284300339615584E-5"/>
        <n v="1.6157843575115294E-5"/>
        <n v="2.8005051644797163E-5"/>
        <n v="1.1697979438451966E-5"/>
        <n v="2.8649535266822568E-5"/>
        <n v="-4.2694807653731459E-5"/>
        <n v="-9.1049910828644443E-6"/>
        <n v="3.1744825037094415E-5"/>
        <n v="3.970452446822037E-6"/>
        <n v="1.41025203781453E-5"/>
        <n v="4.4712697139459578E-5"/>
        <n v="9.7826876963580389E-6"/>
        <n v="-5.30605809814233E-5"/>
        <n v="-8.8281905448184261E-6"/>
        <n v="-2.8179158226393497E-5"/>
        <n v="-4.5828748948650855E-5"/>
        <n v="-3.1189857951474664E-5"/>
        <n v="-2.9883785281015207E-5"/>
        <n v="-5.3287197232521066E-5"/>
        <n v="-1.6199376947412247E-5"/>
        <n v="2.8518525081011603E-5"/>
        <n v="-3.0136196862429188E-5"/>
        <n v="-4.1649899396034584E-5"/>
        <n v="-3.5299320548354274E-5"/>
        <n v="3.8833906602798313E-5"/>
        <n v="-4.5072697899328773E-5"/>
        <n v="4.997613000568002E-5"/>
        <n v="-1.9802149948233705E-5"/>
        <n v="4.6672670244163328E-6"/>
        <n v="-4.5869268518572426E-5"/>
        <n v="2.4180638638071628E-6"/>
        <n v="-2.947546271769852E-5"/>
        <n v="2.0463002375681327E-5"/>
        <n v="-1.0812888515232544E-5"/>
        <n v="-1.6974169740890943E-5"/>
        <n v="-3.8164906501381157E-5"/>
        <n v="1.7580811089601411E-5"/>
        <n v="-2.9371241751618982E-5"/>
        <n v="-2.7418103705656449E-5"/>
        <n v="-3.0551502772979688E-5"/>
        <n v="3.2152156679288169E-6"/>
        <n v="-1.7976593595925294E-5"/>
        <n v="-2.5394967817504721E-5"/>
        <n v="1.7771509167374688E-5"/>
        <n v="3.1914893616757922E-5"/>
        <n v="2.0112329499610837E-5"/>
        <n v="-2.2267177226531487E-5"/>
        <n v="-4.2898723785711468E-5"/>
        <n v="-3.8546281882378963E-5"/>
        <n v="-2.3263167404863339E-5"/>
        <n v="2.0313369919477964E-5"/>
        <n v="2.8758253733940364E-5"/>
        <n v="3.1391621531540181E-5"/>
        <n v="-1.7338284739487619E-5"/>
        <n v="3.0666153438829724E-5"/>
        <n v="3.8233639602536229E-5"/>
        <n v="-2.5830258302605991E-5"/>
        <n v="2.0504596963871746E-5"/>
        <n v="9.1698083934943497E-6"/>
        <n v="4.3583273409808498E-5"/>
        <n v="1.5701954414026886E-5"/>
        <n v="-8.1069442643411094E-6"/>
        <n v="-1.7748695775310352E-6"/>
        <n v="-1.2232914411214324E-5"/>
        <n v="-3.1776995278676168E-5"/>
        <n v="-3.2125290207574153E-5"/>
        <n v="-1.2863822007602721E-7"/>
        <n v="1.6181059354636318E-5"/>
        <n v="2.2526934415623145E-6"/>
        <n v="2.3557727910628046E-5"/>
        <n v="2.0385800805655663E-5"/>
        <n v="-4.2944949814938127E-5"/>
        <n v="-1.0345771087803328"/>
        <n v="0.8398232854563723"/>
        <n v="-2.0037645115813412"/>
        <n v="-1.4674129064256984"/>
        <n v="-0.49231776818858997"/>
        <n v="1.1367251207996247"/>
        <n v="-1.0153113341317965"/>
        <n v="0.11531538481303305"/>
        <n v="4.4467552363825269E-2"/>
        <n v="-0.23916146322726917"/>
        <n v="0.50655981102640002"/>
        <n v="0.73675111120387982"/>
        <n v="-0.1222775495935462"/>
        <n v="-0.10184014085915827"/>
        <n v="-2.8605323645791714E-5"/>
        <n v="3.0296499964777013E-5"/>
        <n v="1.0494752626044601E-5"/>
        <n v="-1.4086829093429287E-5"/>
        <n v="2.7586206897467491E-5"/>
        <n v="-9.6767552193455231E-7"/>
        <n v="-1.4471780026781289E-5"/>
        <n v="-1.0978043912146518E-5"/>
        <n v="-5.3481418197165453E-5"/>
        <n v="-4.6973365616764795E-5"/>
        <n v="-2.3765729261882029E-5"/>
        <n v="-2.825562228281342E-5"/>
        <n v="3.8808723708427806E-5"/>
        <n v="-3.3582097404227795E-5"/>
        <n v="-4.5599278685748423E-5"/>
        <n v="4.0857043169140184E-5"/>
        <n v="2.9094958492237311E-5"/>
        <n v="-4.5716413886509599E-5"/>
        <n v="-4.910720488737752E-5"/>
        <n v="2.9448961161193665E-5"/>
        <n v="1.6734914995097938E-5"/>
        <n v="5.0583461046471712E-6"/>
        <n v="-2.3981573480824636E-5"/>
        <n v="3.074995525409463E-5"/>
        <n v="-1.1762920237856633E-6"/>
        <n v="9.2349224800614138E-6"/>
        <n v="1.0502046336569038E-5"/>
        <n v="1.4829333153443258E-5"/>
        <n v="2.5965781308201485E-5"/>
        <n v="1.0499958169818413E-5"/>
        <n v="1.2875514556753842E-5"/>
        <n v="4.9699531683877751E-5"/>
        <n v="-2.9693927748652982E-5"/>
        <n v="-2.6369440973894598E-5"/>
        <n v="1.6286417864996849E-5"/>
        <n v="4.9015714737254967E-5"/>
        <n v="-2.1886623180034093E-5"/>
        <n v="-2.3032318964388843E-5"/>
        <n v="2.2349970450752377E-5"/>
        <n v="-3.7100813513837871E-5"/>
        <n v="-2.2099964640087677E-5"/>
        <n v="2.7131329669138893E-5"/>
        <n v="-1.9286792606543202E-5"/>
      </sharedItems>
    </cacheField>
    <cacheField name="Gross Margin" numFmtId="0">
      <sharedItems containsSemiMixedTypes="0" containsString="0" containsNumber="1" minValue="9.9986632803101189E-2" maxValue="1" count="148">
        <n v="0.43309630561360085"/>
        <n v="0.41779359625167778"/>
        <n v="0.38233247727810865"/>
        <n v="0.37817768109034722"/>
        <n v="0.38343718820007905"/>
        <n v="0.38469860491899105"/>
        <n v="0.39075955648097049"/>
        <n v="0.40059902017414373"/>
        <n v="0.38588035777783858"/>
        <n v="0.37624480720847231"/>
        <n v="0.43871239808827661"/>
        <n v="0.40478895878945764"/>
        <n v="0.39377539287083174"/>
        <n v="0.40139843841044165"/>
        <n v="0.68920085883491022"/>
        <n v="0.68401674484289099"/>
        <n v="0.68925800771024703"/>
        <n v="0.67781001992797962"/>
        <n v="0.65901957200638894"/>
        <n v="0.65247372236317502"/>
        <n v="0.64522475691460168"/>
        <n v="0.64038879259275516"/>
        <n v="0.64695447745244705"/>
        <n v="0.68816003132449644"/>
        <n v="0.73814692545825888"/>
        <n v="0.76221803236439101"/>
        <n v="0.77729007906438097"/>
        <n v="0.80162921707957235"/>
        <n v="0.79199822030562828"/>
        <n v="0.55379442503783116"/>
        <n v="0.5693980290098084"/>
        <n v="0.53578374706207854"/>
        <n v="0.5558054331910266"/>
        <n v="0.5647607422945643"/>
        <n v="0.58880519597672631"/>
        <n v="0.61075416518964909"/>
        <n v="0.62442491565429592"/>
        <n v="0.6107483219951213"/>
        <n v="0.60386534339595455"/>
        <n v="0.6269249983709464"/>
        <n v="0.65207756232686975"/>
        <n v="0.64472562327342176"/>
        <n v="0.62606232294617559"/>
        <n v="0.42346827531070574"/>
        <n v="0.46986717117969334"/>
        <n v="0.46616015661415122"/>
        <n v="0.44941480981318926"/>
        <n v="0.46527732832826352"/>
        <n v="0.48869711318160991"/>
        <n v="0.47417450654860727"/>
        <n v="0.51027249134948094"/>
        <n v="0.52560747663551399"/>
        <n v="0.3678792281659195"/>
        <n v="0.2943312138617285"/>
        <n v="0.15803914395463692"/>
        <n v="0.24072287219072891"/>
        <n v="0.14604655088733673"/>
        <n v="0.13830775444264942"/>
        <n v="9.9986632803101189E-2"/>
        <n v="0.18113395168618307"/>
        <n v="0.29840387541533397"/>
        <n v="0.31818973778203674"/>
        <n v="0.30647063779593903"/>
        <n v="0.28710544505030333"/>
        <n v="0.23049883974790261"/>
        <n v="0.24671623788884914"/>
        <n v="0.77601476014760151"/>
        <n v="0.78776281368084489"/>
        <n v="0.78894363528074074"/>
        <n v="0.77646097261953417"/>
        <n v="0.73154722835491381"/>
        <n v="0.70498978698570181"/>
        <n v="0.69546020604551118"/>
        <n v="0.65769619200380203"/>
        <n v="0.61562317144528966"/>
        <n v="0.61636107193229905"/>
        <n v="0.66602393617021272"/>
        <n v="0.64342070072211821"/>
        <n v="0.62509934253305399"/>
        <n v="0.62668855884767516"/>
        <n v="0.21117231469285117"/>
        <n v="0.21167223778119071"/>
        <n v="0.23105066412153027"/>
        <n v="0.22914930444259246"/>
        <n v="0.2419310268597325"/>
        <n v="0.2638129171475887"/>
        <n v="0.25503404142709363"/>
        <n v="0.27339208700543782"/>
        <n v="0.27642988929889301"/>
        <n v="0.27051528757750692"/>
        <n v="0.56970313942353323"/>
        <n v="0.54171528964944082"/>
        <n v="0.50771566759337361"/>
        <n v="0.52327235962629415"/>
        <n v="0.50957996791780935"/>
        <n v="0.46540814359082217"/>
        <n v="0.41445623611500332"/>
        <n v="0.3852044229331445"/>
        <n v="0.38102057847113663"/>
        <n v="0.38791775333829082"/>
        <n v="0.39236405847571371"/>
        <n v="0.39571206398578096"/>
        <n v="0.40030987015360586"/>
        <n v="0.38654279898174077"/>
        <n v="1"/>
        <n v="0.56928894490991322"/>
        <n v="0.64929033216913135"/>
        <n v="0.62344827586206897"/>
        <n v="0.61989375343469499"/>
        <n v="0.61206896551724133"/>
        <n v="0.59934115709285563"/>
        <n v="0.58798842257597683"/>
        <n v="0.56107784431137719"/>
        <n v="0.55510465612985904"/>
        <n v="0.54915254237288136"/>
        <n v="0.52015427464260089"/>
        <n v="0.51439544964519135"/>
        <n v="0.39767629636591101"/>
        <n v="0.35380804432359469"/>
        <n v="0.34286637785672347"/>
        <n v="0.42607923367272499"/>
        <n v="0.5544518121077141"/>
        <n v="0.5600832188218372"/>
        <n v="0.5855624261793928"/>
        <n v="0.61733570460704612"/>
        <n v="0.62296649192970155"/>
        <n v="0.6101166922053648"/>
        <n v="0.62648360581699936"/>
        <n v="0.6373545731161625"/>
        <n v="0.5980306594824315"/>
        <n v="0.62149191053786024"/>
        <n v="0.62514120631863557"/>
        <n v="0.65311876762258436"/>
        <n v="0.55686508953226865"/>
        <n v="0.43805339865326287"/>
        <n v="0.42032514441639601"/>
        <n v="0.3956779186870571"/>
        <n v="0.40990011478600608"/>
        <n v="0.40247416128852193"/>
        <n v="0.3706835482891615"/>
        <n v="0.35093060366064405"/>
        <n v="0.33040203353083003"/>
        <n v="0.29482626871038792"/>
        <n v="0.27226938161500025"/>
        <n v="0.24752426628255284"/>
        <n v="0.22441084094265448"/>
        <n v="0.22345339726347796"/>
        <n v="0.22567220204822719"/>
      </sharedItems>
    </cacheField>
    <cacheField name="Operating Cash Flow Margin" numFmtId="0">
      <sharedItems containsSemiMixedTypes="0" containsString="0" containsNumber="1" minValue="-1.0357897016622448" maxValue="2.8805750522314564" count="161">
        <n v="0.30977003915522106"/>
        <n v="0.28439903011615097"/>
        <n v="0.29387829444656938"/>
        <n v="0.2667099710193947"/>
        <n v="0.29154916319960844"/>
        <n v="0.28017222576057654"/>
        <n v="0.30713831913522138"/>
        <n v="0.34771409622831229"/>
        <n v="0.32666648431302825"/>
        <n v="0.31400152126850389"/>
        <n v="0.32494185600736064"/>
        <n v="0.3466914244011492"/>
        <n v="0.28509007282483712"/>
        <n v="0.23677893019461602"/>
        <n v="0.4132883467427978"/>
        <n v="0.44905936349422504"/>
        <n v="0.4565465708438437"/>
        <n v="0.42425619690242283"/>
        <n v="0.41468337531686306"/>
        <n v="0.39764407393983325"/>
        <n v="0.40909796936968656"/>
        <n v="0.36559010026987299"/>
        <n v="0.31703355417824319"/>
        <n v="0.37430469982610298"/>
        <n v="0.37037084612519106"/>
        <n v="0.42898417047597087"/>
        <n v="0.38594283916903765"/>
        <n v="0.38526662825683378"/>
        <n v="0.325769632253538"/>
        <n v="0.32349135187882733"/>
        <n v="0.35574082915109245"/>
        <n v="0.35679105009121936"/>
        <n v="0.33684054443119543"/>
        <n v="0.35061650794114851"/>
        <n v="0.3345902304812593"/>
        <n v="0.39919354838709675"/>
        <n v="0.35434530397791675"/>
        <n v="0.34884319934546448"/>
        <n v="0.33608314270790179"/>
        <n v="0.36097656334846545"/>
        <n v="0.38425009893153939"/>
        <n v="0.37792026192831074"/>
        <n v="0.3938945499133229"/>
        <n v="0.21124354967657533"/>
        <n v="0.22848921997556265"/>
        <n v="0.28987601379696093"/>
        <n v="0.22906819716407834"/>
        <n v="0.35466960067309561"/>
        <n v="0.19329463876584696"/>
        <n v="0.29127467256963657"/>
        <n v="0.27530276816608995"/>
        <n v="0.27663551401869158"/>
        <n v="7.4543296064638442E-2"/>
        <n v="0.12061778435176826"/>
        <n v="2.373330894457655E-2"/>
        <n v="-3.6324528605315001E-2"/>
        <n v="-8.3141657346641629E-3"/>
        <n v="-0.15787560581583199"/>
        <n v="6.6874176485191061E-2"/>
        <n v="4.9325355324292351E-2"/>
        <n v="7.7741204235630218E-2"/>
        <n v="8.5155501350291832E-2"/>
        <n v="5.1619063667256437E-2"/>
        <n v="-1.2441440749558406E-3"/>
        <n v="0.22788998887805681"/>
        <n v="0.24631860776439091"/>
        <n v="0.17163284132841328"/>
        <n v="0.10958240480573588"/>
        <n v="-1.0357897016622448"/>
        <n v="0.28116060482223132"/>
        <n v="0.28354913777671698"/>
        <n v="0.34881820834549171"/>
        <n v="0.24957545567757275"/>
        <n v="0.22455890215647833"/>
        <n v="0.21591574019894674"/>
        <n v="0.21970765482754198"/>
        <n v="0.32460106382978721"/>
        <n v="0.25"/>
        <n v="0.23163066252438408"/>
        <n v="0.22680797074408537"/>
        <n v="-0.11028619327026704"/>
        <n v="-6.2381425603035508E-2"/>
        <n v="-8.6176727909011375E-2"/>
        <n v="-4.4457978075517664E-2"/>
        <n v="-3.06455178512214E-2"/>
        <n v="-7.6027500376373769E-3"/>
        <n v="-6.6158250535280393E-3"/>
        <n v="2.8829926870429404E-3"/>
        <n v="3.4755535055350555E-2"/>
        <n v="2.1210177464186443E-2"/>
        <n v="0.31863121479040318"/>
        <n v="0.39364162098618172"/>
        <n v="0.32617998937931464"/>
        <n v="0.38016981520660537"/>
        <n v="0.32772287008594447"/>
        <n v="0.24325603407477517"/>
        <n v="0.24610610878932981"/>
        <n v="0.25731318616456145"/>
        <n v="0.24526170407378661"/>
        <n v="0.25335430179643276"/>
        <n v="0.25269706533173725"/>
        <n v="0.26475968303339997"/>
        <n v="0.26341455309745543"/>
        <n v="0.25285011453217671"/>
        <n v="1.2113717471251857"/>
        <n v="2.2296722306394265"/>
        <n v="2.6419649099706093"/>
        <n v="-0.56837111132833007"/>
        <n v="0.40234677532837587"/>
        <n v="2.8805750522314564"/>
        <n v="0.52612946787587189"/>
        <n v="0.63361362372671959"/>
        <n v="-0.41288355849668223"/>
        <n v="-0.90116325488090521"/>
        <n v="-0.47226521991673487"/>
        <n v="0.95472428940536747"/>
        <n v="0.58931508765947105"/>
        <n v="1.4246706604012347"/>
        <n v="0.20912730777786015"/>
        <n v="0.3384112357880657"/>
        <n v="0.34914542728635684"/>
        <n v="0.43606887708371495"/>
        <n v="0.31947763741891433"/>
        <n v="0.36051060325303685"/>
        <n v="0.24196816208393632"/>
        <n v="0.2345309381237525"/>
        <n v="0.19350704826997009"/>
        <n v="0.20217917675544794"/>
        <n v="0.1925563980216623"/>
        <n v="0.22740668295843097"/>
        <n v="0.19072482811970393"/>
        <n v="0.14664514218632804"/>
        <n v="7.2808836801748628E-2"/>
        <n v="0.24475846100168111"/>
        <n v="0.37274751974083825"/>
        <n v="0.46058022011892075"/>
        <n v="0.46057111095671505"/>
        <n v="0.41542457091237578"/>
        <n v="0.35228884179665715"/>
        <n v="0.36721841480458689"/>
        <n v="0.34356426700388404"/>
        <n v="0.36545552174691248"/>
        <n v="0.39417166274569326"/>
        <n v="0.3540241090343263"/>
        <n v="0.38821089279431098"/>
        <n v="0.38264218416890172"/>
        <n v="0.31798901130184759"/>
        <n v="9.0960206855090542E-2"/>
        <n v="9.8605429290241839E-2"/>
        <n v="0.17112188652658628"/>
        <n v="0.13729404467385803"/>
        <n v="0.13192234860683508"/>
        <n v="0.10325188625144772"/>
        <n v="0.12650473942362137"/>
        <n v="0.11250770984804591"/>
        <n v="7.6886771250056191E-2"/>
        <n v="7.3537312630956864E-2"/>
        <n v="6.8420277282176353E-2"/>
        <n v="8.1182270108367829E-2"/>
        <n v="0.10218103145830897"/>
        <n v="0.134358806968868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Financeiro1" cacheId="0" applyNumberFormats="0" applyBorderFormats="0" applyFontFormats="0" applyPatternFormats="0" applyAlignmentFormats="0" applyWidthHeightFormats="0" dataCaption="Indicadores" updatedVersion="6" minRefreshableVersion="3" rowGrandTotals="0" colGrandTotals="0" createdVersion="6" compact="0" outline="1" outlineData="1" compactData="0" multipleFieldFilters="0">
  <location ref="A5:G20" firstHeaderRow="1" firstDataRow="2" firstDataCol="1"/>
  <pivotFields count="27"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</items>
    </pivotField>
    <pivotField axis="axisCol" showAll="0" defaultSubtotal="0">
      <items count="12">
        <item n="Apple" x="0"/>
        <item h="1" x="1"/>
        <item h="1" x="2"/>
        <item h="1" x="3"/>
        <item n="Google" x="4"/>
        <item h="1" x="5"/>
        <item h="1" x="6"/>
        <item n="Microsoft" x="7"/>
        <item h="1" x="8"/>
        <item h="1" x="9"/>
        <item h="1" x="10"/>
        <item h="1" x="1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2">
    <field x="1"/>
    <field x="-2"/>
  </colFields>
  <colItems count="6">
    <i>
      <x/>
      <x/>
    </i>
    <i i="1">
      <x/>
      <x v="1"/>
    </i>
    <i>
      <x v="4"/>
      <x/>
    </i>
    <i i="1">
      <x v="4"/>
      <x v="1"/>
    </i>
    <i>
      <x v="7"/>
      <x/>
    </i>
    <i i="1">
      <x v="7"/>
      <x v="1"/>
    </i>
  </colItems>
  <dataFields count="2">
    <dataField name="Receitas (USD milhões)" fld="4" baseField="0" baseItem="0" numFmtId="3"/>
    <dataField name="Margem líquida" fld="23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Financeiro2" cacheId="0" applyNumberFormats="0" applyBorderFormats="0" applyFontFormats="0" applyPatternFormats="0" applyAlignmentFormats="0" applyWidthHeightFormats="0" dataCaption="Indicadores" updatedVersion="6" minRefreshableVersion="3" rowGrandTotals="0" colGrandTotals="0" createdVersion="6" compact="0" outline="1" outlineData="1" compactData="0" multipleFieldFilters="0">
  <location ref="A6:D20" firstHeaderRow="0" firstDataRow="1" firstDataCol="1"/>
  <pivotFields count="27"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</items>
    </pivotField>
    <pivotField axis="axisCol" showAll="0" defaultSubtotal="0">
      <items count="12">
        <item n="Apple" x="0"/>
        <item h="1" x="1"/>
        <item h="1" x="2"/>
        <item h="1" x="3"/>
        <item n="Google" x="4"/>
        <item h="1" x="5"/>
        <item h="1" x="6"/>
        <item n="Microsoft" x="7"/>
        <item h="1" x="8"/>
        <item h="1" x="9"/>
        <item h="1" x="10"/>
        <item h="1" x="1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3">
    <i>
      <x/>
    </i>
    <i>
      <x v="4"/>
    </i>
    <i>
      <x v="7"/>
    </i>
  </colItems>
  <dataFields count="1">
    <dataField name="Receitas" fld="4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Financeiro3" cacheId="0" applyNumberFormats="0" applyBorderFormats="0" applyFontFormats="0" applyPatternFormats="0" applyAlignmentFormats="0" applyWidthHeightFormats="0" dataCaption="Indicadores" updatedVersion="6" minRefreshableVersion="3" rowGrandTotals="0" colGrandTotals="0" createdVersion="6" compact="0" outline="1" outlineData="1" compactData="0" multipleFieldFilters="0">
  <location ref="A6:D20" firstHeaderRow="0" firstDataRow="1" firstDataCol="1"/>
  <pivotFields count="27"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</items>
    </pivotField>
    <pivotField axis="axisCol" showAll="0" defaultSubtotal="0">
      <items count="12">
        <item n="Apple" x="0"/>
        <item h="1" x="1"/>
        <item h="1" x="2"/>
        <item h="1" x="3"/>
        <item n="Google" x="4"/>
        <item h="1" x="5"/>
        <item h="1" x="6"/>
        <item n="Microsoft" x="7"/>
        <item h="1" x="8"/>
        <item h="1" x="9"/>
        <item h="1" x="10"/>
        <item h="1" x="1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3">
    <i>
      <x/>
    </i>
    <i>
      <x v="4"/>
    </i>
    <i>
      <x v="7"/>
    </i>
  </colItems>
  <dataFields count="1">
    <dataField name="Margem líquida" fld="23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Financeiro4" cacheId="0" applyNumberFormats="0" applyBorderFormats="0" applyFontFormats="0" applyPatternFormats="0" applyAlignmentFormats="0" applyWidthHeightFormats="0" dataCaption="Indicadores" updatedVersion="6" minRefreshableVersion="3" rowGrandTotals="0" colGrandTotals="0" createdVersion="6" compact="0" outline="1" outlineData="1" compactData="0" multipleFieldFilters="0">
  <location ref="A6:D20" firstHeaderRow="0" firstDataRow="1" firstDataCol="1"/>
  <pivotFields count="27"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</items>
    </pivotField>
    <pivotField axis="axisCol" showAll="0" defaultSubtotal="0">
      <items count="12">
        <item n="Apple" x="0"/>
        <item h="1" x="1"/>
        <item h="1" x="2"/>
        <item h="1" x="3"/>
        <item n="Google" x="4"/>
        <item h="1" x="5"/>
        <item h="1" x="6"/>
        <item n="Microsoft" x="7"/>
        <item h="1" x="8"/>
        <item h="1" x="9"/>
        <item h="1" x="10"/>
        <item h="1" x="1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3">
    <i>
      <x/>
    </i>
    <i>
      <x v="4"/>
    </i>
    <i>
      <x v="7"/>
    </i>
  </colItems>
  <dataFields count="1">
    <dataField name="Caixa operacional / receitas" fld="26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Financeiro5" cacheId="0" applyNumberFormats="0" applyBorderFormats="0" applyFontFormats="0" applyPatternFormats="0" applyAlignmentFormats="0" applyWidthHeightFormats="0" dataCaption="Indicadores" updatedVersion="6" minRefreshableVersion="3" rowGrandTotals="0" colGrandTotals="0" createdVersion="6" compact="0" outline="1" outlineData="1" compactData="0" multipleFieldFilters="0">
  <location ref="A6:D20" firstHeaderRow="0" firstDataRow="1" firstDataCol="1"/>
  <pivotFields count="27"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</items>
    </pivotField>
    <pivotField axis="axisCol" showAll="0" defaultSubtotal="0">
      <items count="12">
        <item n="Apple" x="0"/>
        <item h="1" x="1"/>
        <item h="1" x="2"/>
        <item h="1" x="3"/>
        <item n="Google" x="4"/>
        <item h="1" x="5"/>
        <item h="1" x="6"/>
        <item n="Microsoft" x="7"/>
        <item h="1" x="8"/>
        <item h="1" x="9"/>
        <item h="1" x="10"/>
        <item h="1" x="1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3">
    <i>
      <x/>
    </i>
    <i>
      <x v="4"/>
    </i>
    <i>
      <x v="7"/>
    </i>
  </colItems>
  <dataFields count="1">
    <dataField name="Rácio corrente" fld="13" subtotal="average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Financeiro6" cacheId="0" applyNumberFormats="0" applyBorderFormats="0" applyFontFormats="0" applyPatternFormats="0" applyAlignmentFormats="0" applyWidthHeightFormats="0" dataCaption="Indicadores" updatedVersion="6" minRefreshableVersion="3" rowGrandTotals="0" colGrandTotals="0" createdVersion="6" compact="0" outline="1" outlineData="1" compactData="0" multipleFieldFilters="0">
  <location ref="A6:D20" firstHeaderRow="0" firstDataRow="1" firstDataCol="1"/>
  <pivotFields count="27">
    <pivotField axis="axisRow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</items>
    </pivotField>
    <pivotField axis="axisCol" showAll="0" defaultSubtotal="0">
      <items count="12">
        <item n="Apple" x="0"/>
        <item h="1" x="1"/>
        <item h="1" x="2"/>
        <item h="1" x="3"/>
        <item n="Google" x="4"/>
        <item h="1" x="5"/>
        <item h="1" x="6"/>
        <item n="Microsoft" x="7"/>
        <item h="1" x="8"/>
        <item h="1" x="9"/>
        <item h="1" x="10"/>
        <item h="1" x="1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1"/>
  </colFields>
  <colItems count="3">
    <i>
      <x/>
    </i>
    <i>
      <x v="4"/>
    </i>
    <i>
      <x v="7"/>
    </i>
  </colItems>
  <dataFields count="1">
    <dataField name="Dívida / capital próprio" fld="14" subtotal="average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inancials" displayName="tblFinancials" ref="A1:AA162" totalsRowShown="0">
  <autoFilter ref="A1:AA162" xr:uid="{00000000-0009-0000-0100-000001000000}"/>
  <tableColumns count="27">
    <tableColumn id="1" xr3:uid="{00000000-0010-0000-0000-000001000000}" name="Year"/>
    <tableColumn id="2" xr3:uid="{00000000-0010-0000-0000-000002000000}" name="Company"/>
    <tableColumn id="3" xr3:uid="{00000000-0010-0000-0000-000003000000}" name="Category"/>
    <tableColumn id="4" xr3:uid="{00000000-0010-0000-0000-000004000000}" name="Market Cap"/>
    <tableColumn id="5" xr3:uid="{00000000-0010-0000-0000-000005000000}" name="Revenue"/>
    <tableColumn id="6" xr3:uid="{00000000-0010-0000-0000-000006000000}" name="Gross Profit"/>
    <tableColumn id="7" xr3:uid="{00000000-0010-0000-0000-000007000000}" name="Net Income"/>
    <tableColumn id="8" xr3:uid="{00000000-0010-0000-0000-000008000000}" name="Earning Per Share"/>
    <tableColumn id="9" xr3:uid="{00000000-0010-0000-0000-000009000000}" name="EBITDA"/>
    <tableColumn id="10" xr3:uid="{00000000-0010-0000-0000-00000A000000}" name="Share Holder Equity"/>
    <tableColumn id="11" xr3:uid="{00000000-0010-0000-0000-00000B000000}" name="Cash Flow from Operating"/>
    <tableColumn id="12" xr3:uid="{00000000-0010-0000-0000-00000C000000}" name="Cash Flow from Investing"/>
    <tableColumn id="13" xr3:uid="{00000000-0010-0000-0000-00000D000000}" name="Cash Flow from Financial Activities"/>
    <tableColumn id="14" xr3:uid="{00000000-0010-0000-0000-00000E000000}" name="Current Ratio"/>
    <tableColumn id="15" xr3:uid="{00000000-0010-0000-0000-00000F000000}" name="Debt/Equity Ratio"/>
    <tableColumn id="16" xr3:uid="{00000000-0010-0000-0000-000010000000}" name="ROE"/>
    <tableColumn id="17" xr3:uid="{00000000-0010-0000-0000-000011000000}" name="ROA"/>
    <tableColumn id="18" xr3:uid="{00000000-0010-0000-0000-000012000000}" name="ROI"/>
    <tableColumn id="19" xr3:uid="{00000000-0010-0000-0000-000013000000}" name="Net Profit Margin"/>
    <tableColumn id="20" xr3:uid="{00000000-0010-0000-0000-000014000000}" name="Free Cash Flow per Share"/>
    <tableColumn id="21" xr3:uid="{00000000-0010-0000-0000-000015000000}" name="Return on Tangible Equity"/>
    <tableColumn id="22" xr3:uid="{00000000-0010-0000-0000-000016000000}" name="Number of Employees"/>
    <tableColumn id="23" xr3:uid="{00000000-0010-0000-0000-000017000000}" name="Inflation Rate(in US)"/>
    <tableColumn id="24" xr3:uid="{00000000-0010-0000-0000-000018000000}" name="Net Margin Calculated"/>
    <tableColumn id="25" xr3:uid="{00000000-0010-0000-0000-000019000000}" name="Margin Difference"/>
    <tableColumn id="26" xr3:uid="{00000000-0010-0000-0000-00001A000000}" name="Gross Margin"/>
    <tableColumn id="27" xr3:uid="{00000000-0010-0000-0000-00001B000000}" name="Operating Cash Flow Margi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76"/>
  <sheetViews>
    <sheetView showGridLines="0" tabSelected="1" zoomScale="85" zoomScaleNormal="85" workbookViewId="0">
      <pane xSplit="3" ySplit="1" topLeftCell="T2" activePane="bottomRight" state="frozen"/>
      <selection pane="topRight"/>
      <selection pane="bottomLeft"/>
      <selection pane="bottomRight" activeCell="AB6" sqref="AB6"/>
    </sheetView>
  </sheetViews>
  <sheetFormatPr defaultRowHeight="13.8"/>
  <cols>
    <col min="1" max="1" width="10" customWidth="1"/>
    <col min="2" max="3" width="14" customWidth="1"/>
    <col min="4" max="27" width="21" customWidth="1"/>
  </cols>
  <sheetData>
    <row r="1" spans="1:27" ht="48" customHeight="1">
      <c r="A1" s="2" t="s">
        <v>4</v>
      </c>
      <c r="B1" s="2" t="s">
        <v>19</v>
      </c>
      <c r="C1" s="2" t="s">
        <v>20</v>
      </c>
      <c r="D1" s="2" t="s">
        <v>69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</row>
    <row r="2" spans="1:27" ht="20.100000000000001" customHeight="1">
      <c r="A2" s="3">
        <v>2022</v>
      </c>
      <c r="B2" s="1" t="s">
        <v>44</v>
      </c>
      <c r="C2" s="1" t="s">
        <v>45</v>
      </c>
      <c r="D2" s="6">
        <v>2066.94</v>
      </c>
      <c r="E2" s="6">
        <v>394328</v>
      </c>
      <c r="F2" s="6">
        <v>170782</v>
      </c>
      <c r="G2" s="6">
        <v>99803</v>
      </c>
      <c r="H2" s="6">
        <v>6.11</v>
      </c>
      <c r="I2" s="6">
        <v>130541</v>
      </c>
      <c r="J2" s="6">
        <v>50672</v>
      </c>
      <c r="K2" s="6">
        <v>122151</v>
      </c>
      <c r="L2" s="6">
        <v>-22354</v>
      </c>
      <c r="M2" s="6">
        <v>-110749</v>
      </c>
      <c r="N2" s="6">
        <v>0.87939999999999996</v>
      </c>
      <c r="O2" s="6">
        <v>2.3694999999999999</v>
      </c>
      <c r="P2" s="6">
        <v>196.9589</v>
      </c>
      <c r="Q2" s="6">
        <v>28.292400000000001</v>
      </c>
      <c r="R2" s="6">
        <v>66.699399999999997</v>
      </c>
      <c r="S2" s="6">
        <v>25.3096</v>
      </c>
      <c r="T2" s="6">
        <v>1.3146</v>
      </c>
      <c r="U2" s="6">
        <v>196.9589</v>
      </c>
      <c r="V2" s="7">
        <v>164000</v>
      </c>
      <c r="W2" s="6">
        <v>8.0028000000000006</v>
      </c>
      <c r="X2" s="8">
        <f t="shared" ref="X2:X33" si="0">G2/E2</f>
        <v>0.25309640705199732</v>
      </c>
      <c r="Y2" s="9">
        <f t="shared" ref="Y2:Y33" si="1">X2*100-S2</f>
        <v>4.0705199733537256E-5</v>
      </c>
      <c r="Z2" s="8">
        <f t="shared" ref="Z2:Z33" si="2">F2/E2</f>
        <v>0.43309630561360085</v>
      </c>
      <c r="AA2" s="8">
        <f t="shared" ref="AA2:AA33" si="3">K2/E2</f>
        <v>0.30977003915522106</v>
      </c>
    </row>
    <row r="3" spans="1:27" ht="20.100000000000001" customHeight="1">
      <c r="A3" s="3">
        <v>2021</v>
      </c>
      <c r="B3" s="1" t="s">
        <v>44</v>
      </c>
      <c r="C3" s="1" t="s">
        <v>45</v>
      </c>
      <c r="D3" s="6">
        <v>2913.28</v>
      </c>
      <c r="E3" s="6">
        <v>365817</v>
      </c>
      <c r="F3" s="6">
        <v>152836</v>
      </c>
      <c r="G3" s="6">
        <v>94680</v>
      </c>
      <c r="H3" s="6">
        <v>5.61</v>
      </c>
      <c r="I3" s="6">
        <v>120233</v>
      </c>
      <c r="J3" s="6">
        <v>63090</v>
      </c>
      <c r="K3" s="6">
        <v>104038</v>
      </c>
      <c r="L3" s="6">
        <v>-14545</v>
      </c>
      <c r="M3" s="6">
        <v>-93353</v>
      </c>
      <c r="N3" s="6">
        <v>1.0746</v>
      </c>
      <c r="O3" s="6">
        <v>1.9767999999999999</v>
      </c>
      <c r="P3" s="6">
        <v>150.07130000000001</v>
      </c>
      <c r="Q3" s="6">
        <v>26.9742</v>
      </c>
      <c r="R3" s="6">
        <v>54.983899999999998</v>
      </c>
      <c r="S3" s="6">
        <v>25.881799999999998</v>
      </c>
      <c r="T3" s="6">
        <v>1.3261000000000001</v>
      </c>
      <c r="U3" s="6">
        <v>150.07130000000001</v>
      </c>
      <c r="V3" s="7">
        <v>154000</v>
      </c>
      <c r="W3" s="6">
        <v>4.6978999999999997</v>
      </c>
      <c r="X3" s="8">
        <f t="shared" si="0"/>
        <v>0.25881793355694238</v>
      </c>
      <c r="Y3" s="9">
        <f t="shared" si="1"/>
        <v>-6.644305759806457E-6</v>
      </c>
      <c r="Z3" s="8">
        <f t="shared" si="2"/>
        <v>0.41779359625167778</v>
      </c>
      <c r="AA3" s="8">
        <f t="shared" si="3"/>
        <v>0.28439903011615097</v>
      </c>
    </row>
    <row r="4" spans="1:27" ht="20.100000000000001" customHeight="1">
      <c r="A4" s="3">
        <v>2020</v>
      </c>
      <c r="B4" s="1" t="s">
        <v>44</v>
      </c>
      <c r="C4" s="1" t="s">
        <v>45</v>
      </c>
      <c r="D4" s="6">
        <v>2255.9699999999998</v>
      </c>
      <c r="E4" s="6">
        <v>274515</v>
      </c>
      <c r="F4" s="6">
        <v>104956</v>
      </c>
      <c r="G4" s="6">
        <v>57411</v>
      </c>
      <c r="H4" s="6">
        <v>3.28</v>
      </c>
      <c r="I4" s="6">
        <v>77344</v>
      </c>
      <c r="J4" s="6">
        <v>65339</v>
      </c>
      <c r="K4" s="6">
        <v>80674</v>
      </c>
      <c r="L4" s="6">
        <v>-4289</v>
      </c>
      <c r="M4" s="6">
        <v>-86820</v>
      </c>
      <c r="N4" s="6">
        <v>1.3635999999999999</v>
      </c>
      <c r="O4" s="6">
        <v>1.7208000000000001</v>
      </c>
      <c r="P4" s="6">
        <v>87.866399999999999</v>
      </c>
      <c r="Q4" s="6">
        <v>17.7256</v>
      </c>
      <c r="R4" s="6">
        <v>35.005400000000002</v>
      </c>
      <c r="S4" s="6">
        <v>20.913599999999999</v>
      </c>
      <c r="T4" s="6">
        <v>1.0183</v>
      </c>
      <c r="U4" s="6">
        <v>87.866399999999999</v>
      </c>
      <c r="V4" s="7">
        <v>147000</v>
      </c>
      <c r="W4" s="6">
        <v>1.2336</v>
      </c>
      <c r="X4" s="8">
        <f t="shared" si="0"/>
        <v>0.20913611278072236</v>
      </c>
      <c r="Y4" s="9">
        <f t="shared" si="1"/>
        <v>1.1278072236109438E-5</v>
      </c>
      <c r="Z4" s="8">
        <f t="shared" si="2"/>
        <v>0.38233247727810865</v>
      </c>
      <c r="AA4" s="8">
        <f t="shared" si="3"/>
        <v>0.29387829444656938</v>
      </c>
    </row>
    <row r="5" spans="1:27" ht="20.100000000000001" customHeight="1">
      <c r="A5" s="3">
        <v>2019</v>
      </c>
      <c r="B5" s="1" t="s">
        <v>44</v>
      </c>
      <c r="C5" s="1" t="s">
        <v>45</v>
      </c>
      <c r="D5" s="6">
        <v>1304.76</v>
      </c>
      <c r="E5" s="6">
        <v>260174</v>
      </c>
      <c r="F5" s="6">
        <v>98392</v>
      </c>
      <c r="G5" s="6">
        <v>55256</v>
      </c>
      <c r="H5" s="6">
        <v>2.97</v>
      </c>
      <c r="I5" s="6">
        <v>76477</v>
      </c>
      <c r="J5" s="6">
        <v>90488</v>
      </c>
      <c r="K5" s="6">
        <v>69391</v>
      </c>
      <c r="L5" s="6">
        <v>45896</v>
      </c>
      <c r="M5" s="6">
        <v>-90976</v>
      </c>
      <c r="N5" s="6">
        <v>1.5401</v>
      </c>
      <c r="O5" s="6">
        <v>1.194</v>
      </c>
      <c r="P5" s="6">
        <v>61.064500000000002</v>
      </c>
      <c r="Q5" s="6">
        <v>16.323</v>
      </c>
      <c r="R5" s="6">
        <v>30.311299999999999</v>
      </c>
      <c r="S5" s="6">
        <v>21.238099999999999</v>
      </c>
      <c r="T5" s="6">
        <v>-3.8800000000000001E-2</v>
      </c>
      <c r="U5" s="6">
        <v>61.064500000000002</v>
      </c>
      <c r="V5" s="7">
        <v>137000</v>
      </c>
      <c r="W5" s="6">
        <v>1.8122</v>
      </c>
      <c r="X5" s="8">
        <f t="shared" si="0"/>
        <v>0.21238094505984456</v>
      </c>
      <c r="Y5" s="9">
        <f t="shared" si="1"/>
        <v>-5.4940155429505921E-6</v>
      </c>
      <c r="Z5" s="8">
        <f t="shared" si="2"/>
        <v>0.37817768109034722</v>
      </c>
      <c r="AA5" s="8">
        <f t="shared" si="3"/>
        <v>0.2667099710193947</v>
      </c>
    </row>
    <row r="6" spans="1:27" ht="20.100000000000001" customHeight="1">
      <c r="A6" s="3">
        <v>2018</v>
      </c>
      <c r="B6" s="1" t="s">
        <v>44</v>
      </c>
      <c r="C6" s="1" t="s">
        <v>45</v>
      </c>
      <c r="D6" s="6">
        <v>748.54</v>
      </c>
      <c r="E6" s="6">
        <v>265595</v>
      </c>
      <c r="F6" s="6">
        <v>101839</v>
      </c>
      <c r="G6" s="6">
        <v>59531</v>
      </c>
      <c r="H6" s="6">
        <v>2.98</v>
      </c>
      <c r="I6" s="6">
        <v>81801</v>
      </c>
      <c r="J6" s="6">
        <v>107147</v>
      </c>
      <c r="K6" s="6">
        <v>77434</v>
      </c>
      <c r="L6" s="6">
        <v>16066</v>
      </c>
      <c r="M6" s="6">
        <v>-87876</v>
      </c>
      <c r="N6" s="6">
        <v>1.1329</v>
      </c>
      <c r="O6" s="6">
        <v>1.0685</v>
      </c>
      <c r="P6" s="6">
        <v>55.560099999999998</v>
      </c>
      <c r="Q6" s="6">
        <v>16.2775</v>
      </c>
      <c r="R6" s="6">
        <v>29.634799999999998</v>
      </c>
      <c r="S6" s="6">
        <v>22.414200000000001</v>
      </c>
      <c r="T6" s="6">
        <v>0.74139999999999995</v>
      </c>
      <c r="U6" s="6">
        <v>55.560099999999998</v>
      </c>
      <c r="V6" s="7">
        <v>132000</v>
      </c>
      <c r="W6" s="6">
        <v>2.4426000000000001</v>
      </c>
      <c r="X6" s="8">
        <f t="shared" si="0"/>
        <v>0.22414202074587247</v>
      </c>
      <c r="Y6" s="9">
        <f t="shared" si="1"/>
        <v>2.0745872468808102E-6</v>
      </c>
      <c r="Z6" s="8">
        <f t="shared" si="2"/>
        <v>0.38343718820007905</v>
      </c>
      <c r="AA6" s="8">
        <f t="shared" si="3"/>
        <v>0.29154916319960844</v>
      </c>
    </row>
    <row r="7" spans="1:27" ht="20.100000000000001" customHeight="1">
      <c r="A7" s="3">
        <v>2017</v>
      </c>
      <c r="B7" s="1" t="s">
        <v>44</v>
      </c>
      <c r="C7" s="1" t="s">
        <v>45</v>
      </c>
      <c r="D7" s="6">
        <v>868.87</v>
      </c>
      <c r="E7" s="6">
        <v>229234</v>
      </c>
      <c r="F7" s="6">
        <v>88186</v>
      </c>
      <c r="G7" s="6">
        <v>48351</v>
      </c>
      <c r="H7" s="6">
        <v>2.3025000000000002</v>
      </c>
      <c r="I7" s="6">
        <v>71501</v>
      </c>
      <c r="J7" s="6">
        <v>134047</v>
      </c>
      <c r="K7" s="6">
        <v>64225</v>
      </c>
      <c r="L7" s="6">
        <v>-46446</v>
      </c>
      <c r="M7" s="6">
        <v>-17974</v>
      </c>
      <c r="N7" s="6">
        <v>1.2761</v>
      </c>
      <c r="O7" s="6">
        <v>0.86299999999999999</v>
      </c>
      <c r="P7" s="6">
        <v>36.0702</v>
      </c>
      <c r="Q7" s="6">
        <v>12.8826</v>
      </c>
      <c r="R7" s="6">
        <v>20.908200000000001</v>
      </c>
      <c r="S7" s="6">
        <v>21.092400000000001</v>
      </c>
      <c r="T7" s="6">
        <v>3.3000000000000002E-2</v>
      </c>
      <c r="U7" s="6">
        <v>36.0702</v>
      </c>
      <c r="V7" s="7">
        <v>123000</v>
      </c>
      <c r="W7" s="6">
        <v>2.1301000000000001</v>
      </c>
      <c r="X7" s="8">
        <f t="shared" si="0"/>
        <v>0.21092420845075338</v>
      </c>
      <c r="Y7" s="9">
        <f t="shared" si="1"/>
        <v>2.0845075336950458E-5</v>
      </c>
      <c r="Z7" s="8">
        <f t="shared" si="2"/>
        <v>0.38469860491899105</v>
      </c>
      <c r="AA7" s="8">
        <f t="shared" si="3"/>
        <v>0.28017222576057654</v>
      </c>
    </row>
    <row r="8" spans="1:27" ht="20.100000000000001" customHeight="1">
      <c r="A8" s="3">
        <v>2016</v>
      </c>
      <c r="B8" s="1" t="s">
        <v>44</v>
      </c>
      <c r="C8" s="1" t="s">
        <v>45</v>
      </c>
      <c r="D8" s="6">
        <v>617.59</v>
      </c>
      <c r="E8" s="6">
        <v>215639</v>
      </c>
      <c r="F8" s="6">
        <v>84263</v>
      </c>
      <c r="G8" s="6">
        <v>45687</v>
      </c>
      <c r="H8" s="6">
        <v>2.0775000000000001</v>
      </c>
      <c r="I8" s="6">
        <v>70529</v>
      </c>
      <c r="J8" s="6">
        <v>128249</v>
      </c>
      <c r="K8" s="6">
        <v>66231</v>
      </c>
      <c r="L8" s="6">
        <v>-45977</v>
      </c>
      <c r="M8" s="6">
        <v>-20890</v>
      </c>
      <c r="N8" s="6">
        <v>1.3527</v>
      </c>
      <c r="O8" s="6">
        <v>0.67859999999999998</v>
      </c>
      <c r="P8" s="6">
        <v>35.623699999999999</v>
      </c>
      <c r="Q8" s="6">
        <v>14.202400000000001</v>
      </c>
      <c r="R8" s="6">
        <v>22.4312</v>
      </c>
      <c r="S8" s="6">
        <v>21.186800000000002</v>
      </c>
      <c r="T8" s="6">
        <v>-0.59009999999999996</v>
      </c>
      <c r="U8" s="6">
        <v>38.190600000000003</v>
      </c>
      <c r="V8" s="7">
        <v>116000</v>
      </c>
      <c r="W8" s="6">
        <v>1.2616000000000001</v>
      </c>
      <c r="X8" s="8">
        <f t="shared" si="0"/>
        <v>0.211867983064288</v>
      </c>
      <c r="Y8" s="9">
        <f t="shared" si="1"/>
        <v>-1.6935712032761785E-6</v>
      </c>
      <c r="Z8" s="8">
        <f t="shared" si="2"/>
        <v>0.39075955648097049</v>
      </c>
      <c r="AA8" s="8">
        <f t="shared" si="3"/>
        <v>0.30713831913522138</v>
      </c>
    </row>
    <row r="9" spans="1:27" ht="20.100000000000001" customHeight="1">
      <c r="A9" s="3">
        <v>2015</v>
      </c>
      <c r="B9" s="1" t="s">
        <v>44</v>
      </c>
      <c r="C9" s="1" t="s">
        <v>45</v>
      </c>
      <c r="D9" s="6">
        <v>586.86</v>
      </c>
      <c r="E9" s="6">
        <v>233715</v>
      </c>
      <c r="F9" s="6">
        <v>93626</v>
      </c>
      <c r="G9" s="6">
        <v>53394</v>
      </c>
      <c r="H9" s="6">
        <v>2.3050000000000002</v>
      </c>
      <c r="I9" s="6">
        <v>82487</v>
      </c>
      <c r="J9" s="6">
        <v>119355</v>
      </c>
      <c r="K9" s="6">
        <v>81266</v>
      </c>
      <c r="L9" s="6">
        <v>-56274</v>
      </c>
      <c r="M9" s="6">
        <v>-17716</v>
      </c>
      <c r="N9" s="6">
        <v>1.1088</v>
      </c>
      <c r="O9" s="6">
        <v>0.53900000000000003</v>
      </c>
      <c r="P9" s="6">
        <v>44.735500000000002</v>
      </c>
      <c r="Q9" s="6">
        <v>18.389900000000001</v>
      </c>
      <c r="R9" s="6">
        <v>30.920100000000001</v>
      </c>
      <c r="S9" s="6">
        <v>22.845800000000001</v>
      </c>
      <c r="T9" s="6">
        <v>0.97430000000000005</v>
      </c>
      <c r="U9" s="6">
        <v>48.387799999999999</v>
      </c>
      <c r="V9" s="7">
        <v>110000</v>
      </c>
      <c r="W9" s="6">
        <v>0.1186</v>
      </c>
      <c r="X9" s="8">
        <f t="shared" si="0"/>
        <v>0.22845773698735639</v>
      </c>
      <c r="Y9" s="9">
        <f t="shared" si="1"/>
        <v>-2.6301264362871279E-5</v>
      </c>
      <c r="Z9" s="8">
        <f t="shared" si="2"/>
        <v>0.40059902017414373</v>
      </c>
      <c r="AA9" s="8">
        <f t="shared" si="3"/>
        <v>0.34771409622831229</v>
      </c>
    </row>
    <row r="10" spans="1:27" ht="20.100000000000001" customHeight="1">
      <c r="A10" s="3">
        <v>2014</v>
      </c>
      <c r="B10" s="1" t="s">
        <v>44</v>
      </c>
      <c r="C10" s="1" t="s">
        <v>45</v>
      </c>
      <c r="D10" s="6">
        <v>647.36</v>
      </c>
      <c r="E10" s="6">
        <v>182795</v>
      </c>
      <c r="F10" s="6">
        <v>70537</v>
      </c>
      <c r="G10" s="6">
        <v>39510</v>
      </c>
      <c r="H10" s="6">
        <v>1.6125</v>
      </c>
      <c r="I10" s="6">
        <v>60449</v>
      </c>
      <c r="J10" s="6">
        <v>111547</v>
      </c>
      <c r="K10" s="6">
        <v>59713</v>
      </c>
      <c r="L10" s="6">
        <v>-22579</v>
      </c>
      <c r="M10" s="6">
        <v>-37549</v>
      </c>
      <c r="N10" s="6">
        <v>1.0801000000000001</v>
      </c>
      <c r="O10" s="6">
        <v>0.31640000000000001</v>
      </c>
      <c r="P10" s="6">
        <v>35.420099999999998</v>
      </c>
      <c r="Q10" s="6">
        <v>17.042000000000002</v>
      </c>
      <c r="R10" s="6">
        <v>28.1142</v>
      </c>
      <c r="S10" s="6">
        <v>21.6144</v>
      </c>
      <c r="T10" s="6">
        <v>0.30320000000000003</v>
      </c>
      <c r="U10" s="6">
        <v>38.438000000000002</v>
      </c>
      <c r="V10" s="7">
        <v>97000</v>
      </c>
      <c r="W10" s="6">
        <v>1.6222000000000001</v>
      </c>
      <c r="X10" s="8">
        <f t="shared" si="0"/>
        <v>0.21614376760852322</v>
      </c>
      <c r="Y10" s="9">
        <f t="shared" si="1"/>
        <v>-2.3239147676434868E-5</v>
      </c>
      <c r="Z10" s="8">
        <f t="shared" si="2"/>
        <v>0.38588035777783858</v>
      </c>
      <c r="AA10" s="8">
        <f t="shared" si="3"/>
        <v>0.32666648431302825</v>
      </c>
    </row>
    <row r="11" spans="1:27" ht="20.100000000000001" customHeight="1">
      <c r="A11" s="3">
        <v>2013</v>
      </c>
      <c r="B11" s="1" t="s">
        <v>44</v>
      </c>
      <c r="C11" s="1" t="s">
        <v>45</v>
      </c>
      <c r="D11" s="6">
        <v>504.79</v>
      </c>
      <c r="E11" s="6">
        <v>170910</v>
      </c>
      <c r="F11" s="6">
        <v>64304</v>
      </c>
      <c r="G11" s="6">
        <v>37037</v>
      </c>
      <c r="H11" s="6">
        <v>1.42</v>
      </c>
      <c r="I11" s="6">
        <v>55756</v>
      </c>
      <c r="J11" s="6">
        <v>123549</v>
      </c>
      <c r="K11" s="6">
        <v>53666</v>
      </c>
      <c r="L11" s="6">
        <v>-33774</v>
      </c>
      <c r="M11" s="6">
        <v>-16379</v>
      </c>
      <c r="N11" s="6">
        <v>1.6786000000000001</v>
      </c>
      <c r="O11" s="6">
        <v>0.13730000000000001</v>
      </c>
      <c r="P11" s="6">
        <v>29.977599999999999</v>
      </c>
      <c r="Q11" s="6">
        <v>17.892299999999999</v>
      </c>
      <c r="R11" s="6">
        <v>26.359200000000001</v>
      </c>
      <c r="S11" s="6">
        <v>21.670500000000001</v>
      </c>
      <c r="T11" s="6">
        <v>0.1363</v>
      </c>
      <c r="U11" s="6">
        <v>31.442499999999999</v>
      </c>
      <c r="V11" s="7">
        <v>84400</v>
      </c>
      <c r="W11" s="6">
        <v>1.4648000000000001</v>
      </c>
      <c r="X11" s="8">
        <f t="shared" si="0"/>
        <v>0.21670469837926393</v>
      </c>
      <c r="Y11" s="9">
        <f t="shared" si="1"/>
        <v>-3.0162073606732065E-5</v>
      </c>
      <c r="Z11" s="8">
        <f t="shared" si="2"/>
        <v>0.37624480720847231</v>
      </c>
      <c r="AA11" s="8">
        <f t="shared" si="3"/>
        <v>0.31400152126850389</v>
      </c>
    </row>
    <row r="12" spans="1:27" ht="20.100000000000001" customHeight="1">
      <c r="A12" s="3">
        <v>2012</v>
      </c>
      <c r="B12" s="1" t="s">
        <v>44</v>
      </c>
      <c r="C12" s="1" t="s">
        <v>45</v>
      </c>
      <c r="D12" s="6">
        <v>500.61</v>
      </c>
      <c r="E12" s="6">
        <v>156508</v>
      </c>
      <c r="F12" s="6">
        <v>68662</v>
      </c>
      <c r="G12" s="6">
        <v>41733</v>
      </c>
      <c r="H12" s="6">
        <v>1.5774999999999999</v>
      </c>
      <c r="I12" s="6">
        <v>58518</v>
      </c>
      <c r="J12" s="6">
        <v>118210</v>
      </c>
      <c r="K12" s="6">
        <v>50856</v>
      </c>
      <c r="L12" s="6">
        <v>-48227</v>
      </c>
      <c r="M12" s="6">
        <v>-1698</v>
      </c>
      <c r="N12" s="6">
        <v>1.4958</v>
      </c>
      <c r="O12" s="6">
        <v>0</v>
      </c>
      <c r="P12" s="6">
        <v>35.304099999999998</v>
      </c>
      <c r="Q12" s="6">
        <v>23.703299999999999</v>
      </c>
      <c r="R12" s="6">
        <v>35.304099999999998</v>
      </c>
      <c r="S12" s="6">
        <v>26.665099999999999</v>
      </c>
      <c r="T12" s="6">
        <v>0.33939999999999998</v>
      </c>
      <c r="U12" s="6">
        <v>36.980600000000003</v>
      </c>
      <c r="V12" s="7">
        <v>76100</v>
      </c>
      <c r="W12" s="6">
        <v>2.0693000000000001</v>
      </c>
      <c r="X12" s="8">
        <f t="shared" si="0"/>
        <v>0.26665090602397323</v>
      </c>
      <c r="Y12" s="9">
        <f t="shared" si="1"/>
        <v>-9.397602674710015E-6</v>
      </c>
      <c r="Z12" s="8">
        <f t="shared" si="2"/>
        <v>0.43871239808827661</v>
      </c>
      <c r="AA12" s="8">
        <f t="shared" si="3"/>
        <v>0.32494185600736064</v>
      </c>
    </row>
    <row r="13" spans="1:27" ht="20.100000000000001" customHeight="1">
      <c r="A13" s="3">
        <v>2011</v>
      </c>
      <c r="B13" s="1" t="s">
        <v>44</v>
      </c>
      <c r="C13" s="1" t="s">
        <v>45</v>
      </c>
      <c r="D13" s="6">
        <v>376.4</v>
      </c>
      <c r="E13" s="6">
        <v>108249</v>
      </c>
      <c r="F13" s="6">
        <v>43818</v>
      </c>
      <c r="G13" s="6">
        <v>25922</v>
      </c>
      <c r="H13" s="6">
        <v>0.98860000000000003</v>
      </c>
      <c r="I13" s="6">
        <v>35604</v>
      </c>
      <c r="J13" s="6">
        <v>76615</v>
      </c>
      <c r="K13" s="6">
        <v>37529</v>
      </c>
      <c r="L13" s="6">
        <v>-40419</v>
      </c>
      <c r="M13" s="6">
        <v>1444</v>
      </c>
      <c r="N13" s="6">
        <v>1.6084000000000001</v>
      </c>
      <c r="O13" s="6">
        <v>0</v>
      </c>
      <c r="P13" s="6">
        <v>33.834099999999999</v>
      </c>
      <c r="Q13" s="6">
        <v>22.275300000000001</v>
      </c>
      <c r="R13" s="6">
        <v>33.834099999999999</v>
      </c>
      <c r="S13" s="6">
        <v>23.9466</v>
      </c>
      <c r="T13" s="6">
        <v>0.62780000000000002</v>
      </c>
      <c r="U13" s="6">
        <v>35.911499999999997</v>
      </c>
      <c r="V13" s="7">
        <v>63300</v>
      </c>
      <c r="W13" s="6">
        <v>3.1568000000000001</v>
      </c>
      <c r="X13" s="8">
        <f t="shared" si="0"/>
        <v>0.2394664153941376</v>
      </c>
      <c r="Y13" s="9">
        <f t="shared" si="1"/>
        <v>4.1539413761171318E-5</v>
      </c>
      <c r="Z13" s="8">
        <f t="shared" si="2"/>
        <v>0.40478895878945764</v>
      </c>
      <c r="AA13" s="8">
        <f t="shared" si="3"/>
        <v>0.3466914244011492</v>
      </c>
    </row>
    <row r="14" spans="1:27" ht="20.100000000000001" customHeight="1">
      <c r="A14" s="3">
        <v>2010</v>
      </c>
      <c r="B14" s="1" t="s">
        <v>44</v>
      </c>
      <c r="C14" s="1" t="s">
        <v>45</v>
      </c>
      <c r="D14" s="6">
        <v>296.89</v>
      </c>
      <c r="E14" s="6">
        <v>65225</v>
      </c>
      <c r="F14" s="6">
        <v>25684</v>
      </c>
      <c r="G14" s="6">
        <v>14013</v>
      </c>
      <c r="H14" s="6">
        <v>0.54110000000000003</v>
      </c>
      <c r="I14" s="6">
        <v>19412</v>
      </c>
      <c r="J14" s="6">
        <v>47791</v>
      </c>
      <c r="K14" s="6">
        <v>18595</v>
      </c>
      <c r="L14" s="6">
        <v>-13854</v>
      </c>
      <c r="M14" s="6">
        <v>1257</v>
      </c>
      <c r="N14" s="6">
        <v>2.0112999999999999</v>
      </c>
      <c r="O14" s="6">
        <v>0</v>
      </c>
      <c r="P14" s="6">
        <v>29.321400000000001</v>
      </c>
      <c r="Q14" s="6">
        <v>18.638500000000001</v>
      </c>
      <c r="R14" s="6">
        <v>29.321400000000001</v>
      </c>
      <c r="S14" s="6">
        <v>21.484100000000002</v>
      </c>
      <c r="T14" s="6">
        <v>0.28570000000000001</v>
      </c>
      <c r="U14" s="6">
        <v>30.001300000000001</v>
      </c>
      <c r="V14" s="7">
        <v>49400</v>
      </c>
      <c r="W14" s="6">
        <v>1.64</v>
      </c>
      <c r="X14" s="8">
        <f t="shared" si="0"/>
        <v>0.21484093522422384</v>
      </c>
      <c r="Y14" s="9">
        <f t="shared" si="1"/>
        <v>-6.4775776174030852E-6</v>
      </c>
      <c r="Z14" s="8">
        <f t="shared" si="2"/>
        <v>0.39377539287083174</v>
      </c>
      <c r="AA14" s="8">
        <f t="shared" si="3"/>
        <v>0.28509007282483712</v>
      </c>
    </row>
    <row r="15" spans="1:27" ht="20.100000000000001" customHeight="1">
      <c r="A15" s="3">
        <v>2009</v>
      </c>
      <c r="B15" s="1" t="s">
        <v>44</v>
      </c>
      <c r="C15" s="1" t="s">
        <v>45</v>
      </c>
      <c r="D15" s="6">
        <v>189.8</v>
      </c>
      <c r="E15" s="6">
        <v>42905</v>
      </c>
      <c r="F15" s="6">
        <v>17222</v>
      </c>
      <c r="G15" s="6">
        <v>8235</v>
      </c>
      <c r="H15" s="6">
        <v>0.32429999999999998</v>
      </c>
      <c r="I15" s="6">
        <v>12474</v>
      </c>
      <c r="J15" s="6">
        <v>31640</v>
      </c>
      <c r="K15" s="6">
        <v>10159</v>
      </c>
      <c r="L15" s="6">
        <v>-17434</v>
      </c>
      <c r="M15" s="6">
        <v>663</v>
      </c>
      <c r="N15" s="6">
        <v>2.7425000000000002</v>
      </c>
      <c r="O15" s="6">
        <v>0</v>
      </c>
      <c r="P15" s="6">
        <v>26.027200000000001</v>
      </c>
      <c r="Q15" s="6">
        <v>17.336500000000001</v>
      </c>
      <c r="R15" s="6">
        <v>26.027200000000001</v>
      </c>
      <c r="S15" s="6">
        <v>19.1936</v>
      </c>
      <c r="T15" s="6">
        <v>0.35499999999999998</v>
      </c>
      <c r="U15" s="6">
        <v>26.405200000000001</v>
      </c>
      <c r="V15" s="7">
        <v>36800</v>
      </c>
      <c r="W15" s="6">
        <v>-0.35549999999999998</v>
      </c>
      <c r="X15" s="8">
        <f t="shared" si="0"/>
        <v>0.19193567183311969</v>
      </c>
      <c r="Y15" s="9">
        <f t="shared" si="1"/>
        <v>-3.2816688030123942E-5</v>
      </c>
      <c r="Z15" s="8">
        <f t="shared" si="2"/>
        <v>0.40139843841044165</v>
      </c>
      <c r="AA15" s="8">
        <f t="shared" si="3"/>
        <v>0.23677893019461602</v>
      </c>
    </row>
    <row r="16" spans="1:27" ht="20.100000000000001" customHeight="1">
      <c r="A16" s="3">
        <v>2023</v>
      </c>
      <c r="B16" s="1" t="s">
        <v>46</v>
      </c>
      <c r="C16" s="1" t="s">
        <v>45</v>
      </c>
      <c r="D16" s="6">
        <v>2451.23</v>
      </c>
      <c r="E16" s="6">
        <v>211915</v>
      </c>
      <c r="F16" s="6">
        <v>146052</v>
      </c>
      <c r="G16" s="6">
        <v>72361</v>
      </c>
      <c r="H16" s="6">
        <v>9.68</v>
      </c>
      <c r="I16" s="6">
        <v>102384</v>
      </c>
      <c r="J16" s="6">
        <v>206223</v>
      </c>
      <c r="K16" s="6">
        <v>87582</v>
      </c>
      <c r="L16" s="6">
        <v>-22680</v>
      </c>
      <c r="M16" s="6">
        <v>-43935</v>
      </c>
      <c r="N16" s="6">
        <v>1.7692000000000001</v>
      </c>
      <c r="O16" s="6">
        <v>0.2291</v>
      </c>
      <c r="P16" s="6">
        <v>35.088700000000003</v>
      </c>
      <c r="Q16" s="6">
        <v>17.564399999999999</v>
      </c>
      <c r="R16" s="6">
        <v>29.152799999999999</v>
      </c>
      <c r="S16" s="6">
        <v>34.1462</v>
      </c>
      <c r="T16" s="6">
        <v>-0.68079999999999996</v>
      </c>
      <c r="U16" s="6">
        <v>56.106400000000001</v>
      </c>
      <c r="V16" s="7">
        <v>221000</v>
      </c>
      <c r="W16" s="6">
        <v>3.7</v>
      </c>
      <c r="X16" s="8">
        <f t="shared" si="0"/>
        <v>0.34146237878394642</v>
      </c>
      <c r="Y16" s="9">
        <f t="shared" si="1"/>
        <v>3.7878394643087177E-5</v>
      </c>
      <c r="Z16" s="8">
        <f t="shared" si="2"/>
        <v>0.68920085883491022</v>
      </c>
      <c r="AA16" s="8">
        <f t="shared" si="3"/>
        <v>0.4132883467427978</v>
      </c>
    </row>
    <row r="17" spans="1:27" ht="20.100000000000001" customHeight="1">
      <c r="A17" s="3">
        <v>2022</v>
      </c>
      <c r="B17" s="1" t="s">
        <v>46</v>
      </c>
      <c r="C17" s="1" t="s">
        <v>45</v>
      </c>
      <c r="D17" s="6">
        <v>1787.73</v>
      </c>
      <c r="E17" s="6">
        <v>198270</v>
      </c>
      <c r="F17" s="6">
        <v>135620</v>
      </c>
      <c r="G17" s="6">
        <v>72738</v>
      </c>
      <c r="H17" s="6">
        <v>9.65</v>
      </c>
      <c r="I17" s="6">
        <v>97843</v>
      </c>
      <c r="J17" s="6">
        <v>166542</v>
      </c>
      <c r="K17" s="6">
        <v>89035</v>
      </c>
      <c r="L17" s="6">
        <v>-30311</v>
      </c>
      <c r="M17" s="6">
        <v>-58876</v>
      </c>
      <c r="N17" s="6">
        <v>1.7846</v>
      </c>
      <c r="O17" s="6">
        <v>0.2989</v>
      </c>
      <c r="P17" s="6">
        <v>43.6755</v>
      </c>
      <c r="Q17" s="6">
        <v>19.937000000000001</v>
      </c>
      <c r="R17" s="6">
        <v>34.057499999999997</v>
      </c>
      <c r="S17" s="6">
        <v>36.686300000000003</v>
      </c>
      <c r="T17" s="6">
        <v>1.2643</v>
      </c>
      <c r="U17" s="6">
        <v>82.920699999999997</v>
      </c>
      <c r="V17" s="7">
        <v>221000</v>
      </c>
      <c r="W17" s="6">
        <v>8.0028000000000006</v>
      </c>
      <c r="X17" s="8">
        <f t="shared" si="0"/>
        <v>0.36686336813436221</v>
      </c>
      <c r="Y17" s="9">
        <f t="shared" si="1"/>
        <v>3.6813436217641993E-5</v>
      </c>
      <c r="Z17" s="8">
        <f t="shared" si="2"/>
        <v>0.68401674484289099</v>
      </c>
      <c r="AA17" s="8">
        <f t="shared" si="3"/>
        <v>0.44905936349422504</v>
      </c>
    </row>
    <row r="18" spans="1:27" ht="20.100000000000001" customHeight="1">
      <c r="A18" s="3">
        <v>2021</v>
      </c>
      <c r="B18" s="1" t="s">
        <v>46</v>
      </c>
      <c r="C18" s="1" t="s">
        <v>45</v>
      </c>
      <c r="D18" s="6">
        <v>2525.08</v>
      </c>
      <c r="E18" s="6">
        <v>168088</v>
      </c>
      <c r="F18" s="6">
        <v>115856</v>
      </c>
      <c r="G18" s="6">
        <v>61271</v>
      </c>
      <c r="H18" s="6">
        <v>8.0500000000000007</v>
      </c>
      <c r="I18" s="6">
        <v>81602</v>
      </c>
      <c r="J18" s="6">
        <v>141988</v>
      </c>
      <c r="K18" s="6">
        <v>76740</v>
      </c>
      <c r="L18" s="6">
        <v>-27577</v>
      </c>
      <c r="M18" s="6">
        <v>-48486</v>
      </c>
      <c r="N18" s="6">
        <v>2.08</v>
      </c>
      <c r="O18" s="6">
        <v>0.40949999999999998</v>
      </c>
      <c r="P18" s="6">
        <v>43.152200000000001</v>
      </c>
      <c r="Q18" s="6">
        <v>18.3568</v>
      </c>
      <c r="R18" s="6">
        <v>31.901700000000002</v>
      </c>
      <c r="S18" s="6">
        <v>36.451700000000002</v>
      </c>
      <c r="T18" s="6">
        <v>1.4886999999999999</v>
      </c>
      <c r="U18" s="6">
        <v>72.529799999999994</v>
      </c>
      <c r="V18" s="7">
        <v>181000</v>
      </c>
      <c r="W18" s="6">
        <v>4.6978999999999997</v>
      </c>
      <c r="X18" s="8">
        <f t="shared" si="0"/>
        <v>0.36451739564989766</v>
      </c>
      <c r="Y18" s="9">
        <f t="shared" si="1"/>
        <v>3.9564989762652658E-5</v>
      </c>
      <c r="Z18" s="8">
        <f t="shared" si="2"/>
        <v>0.68925800771024703</v>
      </c>
      <c r="AA18" s="8">
        <f t="shared" si="3"/>
        <v>0.4565465708438437</v>
      </c>
    </row>
    <row r="19" spans="1:27" ht="20.100000000000001" customHeight="1">
      <c r="A19" s="3">
        <v>2020</v>
      </c>
      <c r="B19" s="1" t="s">
        <v>46</v>
      </c>
      <c r="C19" s="1" t="s">
        <v>45</v>
      </c>
      <c r="D19" s="6">
        <v>1681.61</v>
      </c>
      <c r="E19" s="6">
        <v>143015</v>
      </c>
      <c r="F19" s="6">
        <v>96937</v>
      </c>
      <c r="G19" s="6">
        <v>44281</v>
      </c>
      <c r="H19" s="6">
        <v>5.76</v>
      </c>
      <c r="I19" s="6">
        <v>65755</v>
      </c>
      <c r="J19" s="6">
        <v>118304</v>
      </c>
      <c r="K19" s="6">
        <v>60675</v>
      </c>
      <c r="L19" s="6">
        <v>-12223</v>
      </c>
      <c r="M19" s="6">
        <v>-46031</v>
      </c>
      <c r="N19" s="6">
        <v>2.5158</v>
      </c>
      <c r="O19" s="6">
        <v>0.5353</v>
      </c>
      <c r="P19" s="6">
        <v>37.4298</v>
      </c>
      <c r="Q19" s="6">
        <v>14.696099999999999</v>
      </c>
      <c r="R19" s="6">
        <v>24.8935</v>
      </c>
      <c r="S19" s="6">
        <v>30.962499999999999</v>
      </c>
      <c r="T19" s="6">
        <v>0.9526</v>
      </c>
      <c r="U19" s="6">
        <v>65.200599999999994</v>
      </c>
      <c r="V19" s="7">
        <v>163000</v>
      </c>
      <c r="W19" s="6">
        <v>1.2336</v>
      </c>
      <c r="X19" s="8">
        <f t="shared" si="0"/>
        <v>0.30962486452470023</v>
      </c>
      <c r="Y19" s="9">
        <f t="shared" si="1"/>
        <v>-1.3547529974289318E-5</v>
      </c>
      <c r="Z19" s="8">
        <f t="shared" si="2"/>
        <v>0.67781001992797962</v>
      </c>
      <c r="AA19" s="8">
        <f t="shared" si="3"/>
        <v>0.42425619690242283</v>
      </c>
    </row>
    <row r="20" spans="1:27" ht="20.100000000000001" customHeight="1">
      <c r="A20" s="3">
        <v>2019</v>
      </c>
      <c r="B20" s="1" t="s">
        <v>46</v>
      </c>
      <c r="C20" s="1" t="s">
        <v>45</v>
      </c>
      <c r="D20" s="6">
        <v>1203.06</v>
      </c>
      <c r="E20" s="6">
        <v>125843</v>
      </c>
      <c r="F20" s="6">
        <v>82933</v>
      </c>
      <c r="G20" s="6">
        <v>39240</v>
      </c>
      <c r="H20" s="6">
        <v>5.0599999999999996</v>
      </c>
      <c r="I20" s="6">
        <v>54641</v>
      </c>
      <c r="J20" s="6">
        <v>102330</v>
      </c>
      <c r="K20" s="6">
        <v>52185</v>
      </c>
      <c r="L20" s="6">
        <v>-15773</v>
      </c>
      <c r="M20" s="6">
        <v>-36887</v>
      </c>
      <c r="N20" s="6">
        <v>2.5287999999999999</v>
      </c>
      <c r="O20" s="6">
        <v>0.70530000000000004</v>
      </c>
      <c r="P20" s="6">
        <v>38.346499999999999</v>
      </c>
      <c r="Q20" s="6">
        <v>13.6937</v>
      </c>
      <c r="R20" s="6">
        <v>23.22</v>
      </c>
      <c r="S20" s="6">
        <v>31.181699999999999</v>
      </c>
      <c r="T20" s="6">
        <v>0.79679999999999995</v>
      </c>
      <c r="U20" s="6">
        <v>74.6661</v>
      </c>
      <c r="V20" s="7">
        <v>144000</v>
      </c>
      <c r="W20" s="6">
        <v>1.8122</v>
      </c>
      <c r="X20" s="8">
        <f t="shared" si="0"/>
        <v>0.31181710544090652</v>
      </c>
      <c r="Y20" s="9">
        <f t="shared" si="1"/>
        <v>1.0544090653041849E-5</v>
      </c>
      <c r="Z20" s="8">
        <f t="shared" si="2"/>
        <v>0.65901957200638894</v>
      </c>
      <c r="AA20" s="8">
        <f t="shared" si="3"/>
        <v>0.41468337531686306</v>
      </c>
    </row>
    <row r="21" spans="1:27" ht="20.100000000000001" customHeight="1">
      <c r="A21" s="3">
        <v>2018</v>
      </c>
      <c r="B21" s="1" t="s">
        <v>46</v>
      </c>
      <c r="C21" s="1" t="s">
        <v>45</v>
      </c>
      <c r="D21" s="6">
        <v>779.67</v>
      </c>
      <c r="E21" s="6">
        <v>110360</v>
      </c>
      <c r="F21" s="6">
        <v>72007</v>
      </c>
      <c r="G21" s="6">
        <v>16571</v>
      </c>
      <c r="H21" s="6">
        <v>2.13</v>
      </c>
      <c r="I21" s="6">
        <v>45319</v>
      </c>
      <c r="J21" s="6">
        <v>82718</v>
      </c>
      <c r="K21" s="6">
        <v>43884</v>
      </c>
      <c r="L21" s="6">
        <v>-6061</v>
      </c>
      <c r="M21" s="6">
        <v>-33590</v>
      </c>
      <c r="N21" s="6">
        <v>2.9007999999999998</v>
      </c>
      <c r="O21" s="6">
        <v>0.92169999999999996</v>
      </c>
      <c r="P21" s="6">
        <v>20.033100000000001</v>
      </c>
      <c r="Q21" s="6">
        <v>6.4017999999999997</v>
      </c>
      <c r="R21" s="6">
        <v>10.6937</v>
      </c>
      <c r="S21" s="6">
        <v>15.0154</v>
      </c>
      <c r="T21" s="6">
        <v>0.13170000000000001</v>
      </c>
      <c r="U21" s="6">
        <v>42.509399999999999</v>
      </c>
      <c r="V21" s="7">
        <v>131000</v>
      </c>
      <c r="W21" s="6">
        <v>2.4426000000000001</v>
      </c>
      <c r="X21" s="8">
        <f t="shared" si="0"/>
        <v>0.15015404131931859</v>
      </c>
      <c r="Y21" s="9">
        <f t="shared" si="1"/>
        <v>4.1319318597743404E-6</v>
      </c>
      <c r="Z21" s="8">
        <f t="shared" si="2"/>
        <v>0.65247372236317502</v>
      </c>
      <c r="AA21" s="8">
        <f t="shared" si="3"/>
        <v>0.39764407393983325</v>
      </c>
    </row>
    <row r="22" spans="1:27" ht="20.100000000000001" customHeight="1">
      <c r="A22" s="3">
        <v>2017</v>
      </c>
      <c r="B22" s="1" t="s">
        <v>46</v>
      </c>
      <c r="C22" s="1" t="s">
        <v>45</v>
      </c>
      <c r="D22" s="6">
        <v>659.91</v>
      </c>
      <c r="E22" s="6">
        <v>96571</v>
      </c>
      <c r="F22" s="6">
        <v>62310</v>
      </c>
      <c r="G22" s="6">
        <v>25489</v>
      </c>
      <c r="H22" s="6">
        <v>3.25</v>
      </c>
      <c r="I22" s="6">
        <v>37803</v>
      </c>
      <c r="J22" s="6">
        <v>87711</v>
      </c>
      <c r="K22" s="6">
        <v>39507</v>
      </c>
      <c r="L22" s="6">
        <v>-46781</v>
      </c>
      <c r="M22" s="6">
        <v>8408</v>
      </c>
      <c r="N22" s="6">
        <v>2.9186000000000001</v>
      </c>
      <c r="O22" s="6">
        <v>0.98270000000000002</v>
      </c>
      <c r="P22" s="6">
        <v>29.060199999999998</v>
      </c>
      <c r="Q22" s="6">
        <v>10.1829</v>
      </c>
      <c r="R22" s="6">
        <v>15.5626</v>
      </c>
      <c r="S22" s="6">
        <v>26.394100000000002</v>
      </c>
      <c r="T22" s="6">
        <v>0.88870000000000005</v>
      </c>
      <c r="U22" s="6">
        <v>59.998100000000001</v>
      </c>
      <c r="V22" s="7">
        <v>124000</v>
      </c>
      <c r="W22" s="6">
        <v>2.1301000000000001</v>
      </c>
      <c r="X22" s="8">
        <f t="shared" si="0"/>
        <v>0.26394052044609667</v>
      </c>
      <c r="Y22" s="9">
        <f t="shared" si="1"/>
        <v>-4.7955390336085202E-5</v>
      </c>
      <c r="Z22" s="8">
        <f t="shared" si="2"/>
        <v>0.64522475691460168</v>
      </c>
      <c r="AA22" s="8">
        <f t="shared" si="3"/>
        <v>0.40909796936968656</v>
      </c>
    </row>
    <row r="23" spans="1:27" ht="20.100000000000001" customHeight="1">
      <c r="A23" s="3">
        <v>2016</v>
      </c>
      <c r="B23" s="1" t="s">
        <v>46</v>
      </c>
      <c r="C23" s="1" t="s">
        <v>45</v>
      </c>
      <c r="D23" s="6">
        <v>483.16</v>
      </c>
      <c r="E23" s="6">
        <v>91154</v>
      </c>
      <c r="F23" s="6">
        <v>58374</v>
      </c>
      <c r="G23" s="6">
        <v>20539</v>
      </c>
      <c r="H23" s="6">
        <v>2.56</v>
      </c>
      <c r="I23" s="6">
        <v>33330</v>
      </c>
      <c r="J23" s="6">
        <v>71997</v>
      </c>
      <c r="K23" s="6">
        <v>33325</v>
      </c>
      <c r="L23" s="6">
        <v>-23950</v>
      </c>
      <c r="M23" s="6">
        <v>-8393</v>
      </c>
      <c r="N23" s="6">
        <v>2.3529</v>
      </c>
      <c r="O23" s="6">
        <v>0.74250000000000005</v>
      </c>
      <c r="P23" s="6">
        <v>28.5276</v>
      </c>
      <c r="Q23" s="6">
        <v>10.616199999999999</v>
      </c>
      <c r="R23" s="6">
        <v>18.248100000000001</v>
      </c>
      <c r="S23" s="6">
        <v>22.5322</v>
      </c>
      <c r="T23" s="6">
        <v>0.24349999999999999</v>
      </c>
      <c r="U23" s="6">
        <v>40.758499999999998</v>
      </c>
      <c r="V23" s="7">
        <v>114000</v>
      </c>
      <c r="W23" s="6">
        <v>1.2616000000000001</v>
      </c>
      <c r="X23" s="8">
        <f t="shared" si="0"/>
        <v>0.22532198257893235</v>
      </c>
      <c r="Y23" s="9">
        <f t="shared" si="1"/>
        <v>-1.7421067646239408E-6</v>
      </c>
      <c r="Z23" s="8">
        <f t="shared" si="2"/>
        <v>0.64038879259275516</v>
      </c>
      <c r="AA23" s="8">
        <f t="shared" si="3"/>
        <v>0.36559010026987299</v>
      </c>
    </row>
    <row r="24" spans="1:27" ht="20.100000000000001" customHeight="1">
      <c r="A24" s="3">
        <v>2015</v>
      </c>
      <c r="B24" s="1" t="s">
        <v>46</v>
      </c>
      <c r="C24" s="1" t="s">
        <v>45</v>
      </c>
      <c r="D24" s="6">
        <v>443.17</v>
      </c>
      <c r="E24" s="6">
        <v>93580</v>
      </c>
      <c r="F24" s="6">
        <v>60542</v>
      </c>
      <c r="G24" s="6">
        <v>12193</v>
      </c>
      <c r="H24" s="6">
        <v>1.48</v>
      </c>
      <c r="I24" s="6">
        <v>31616</v>
      </c>
      <c r="J24" s="6">
        <v>80083</v>
      </c>
      <c r="K24" s="6">
        <v>29668</v>
      </c>
      <c r="L24" s="6">
        <v>-23001</v>
      </c>
      <c r="M24" s="6">
        <v>-9668</v>
      </c>
      <c r="N24" s="6">
        <v>2.4733999999999998</v>
      </c>
      <c r="O24" s="6">
        <v>0.44069999999999998</v>
      </c>
      <c r="P24" s="6">
        <v>15.2255</v>
      </c>
      <c r="Q24" s="6">
        <v>6.9885000000000002</v>
      </c>
      <c r="R24" s="6">
        <v>11.3012</v>
      </c>
      <c r="S24" s="6">
        <v>13.029500000000001</v>
      </c>
      <c r="T24" s="6">
        <v>-0.34250000000000003</v>
      </c>
      <c r="U24" s="6">
        <v>20.911000000000001</v>
      </c>
      <c r="V24" s="7">
        <v>118000</v>
      </c>
      <c r="W24" s="6">
        <v>0.1186</v>
      </c>
      <c r="X24" s="8">
        <f t="shared" si="0"/>
        <v>0.13029493481513144</v>
      </c>
      <c r="Y24" s="9">
        <f t="shared" si="1"/>
        <v>-6.5184868578427313E-6</v>
      </c>
      <c r="Z24" s="8">
        <f t="shared" si="2"/>
        <v>0.64695447745244705</v>
      </c>
      <c r="AA24" s="8">
        <f t="shared" si="3"/>
        <v>0.31703355417824319</v>
      </c>
    </row>
    <row r="25" spans="1:27" ht="20.100000000000001" customHeight="1">
      <c r="A25" s="3">
        <v>2014</v>
      </c>
      <c r="B25" s="1" t="s">
        <v>46</v>
      </c>
      <c r="C25" s="1" t="s">
        <v>45</v>
      </c>
      <c r="D25" s="6">
        <v>382.88</v>
      </c>
      <c r="E25" s="6">
        <v>86833</v>
      </c>
      <c r="F25" s="6">
        <v>59755</v>
      </c>
      <c r="G25" s="6">
        <v>22074</v>
      </c>
      <c r="H25" s="6">
        <v>2.63</v>
      </c>
      <c r="I25" s="6">
        <v>32971</v>
      </c>
      <c r="J25" s="6">
        <v>89784</v>
      </c>
      <c r="K25" s="6">
        <v>32502</v>
      </c>
      <c r="L25" s="6">
        <v>-18833</v>
      </c>
      <c r="M25" s="6">
        <v>-8665</v>
      </c>
      <c r="N25" s="6">
        <v>2.504</v>
      </c>
      <c r="O25" s="6">
        <v>0.25219999999999998</v>
      </c>
      <c r="P25" s="6">
        <v>24.585699999999999</v>
      </c>
      <c r="Q25" s="6">
        <v>12.805099999999999</v>
      </c>
      <c r="R25" s="6">
        <v>19.9893</v>
      </c>
      <c r="S25" s="6">
        <v>25.421199999999999</v>
      </c>
      <c r="T25" s="6">
        <v>0.31519999999999998</v>
      </c>
      <c r="U25" s="6">
        <v>35.219200000000001</v>
      </c>
      <c r="V25" s="7">
        <v>128000</v>
      </c>
      <c r="W25" s="6">
        <v>1.6222000000000001</v>
      </c>
      <c r="X25" s="8">
        <f t="shared" si="0"/>
        <v>0.25421210829983992</v>
      </c>
      <c r="Y25" s="9">
        <f t="shared" si="1"/>
        <v>1.0829983992266534E-5</v>
      </c>
      <c r="Z25" s="8">
        <f t="shared" si="2"/>
        <v>0.68816003132449644</v>
      </c>
      <c r="AA25" s="8">
        <f t="shared" si="3"/>
        <v>0.37430469982610298</v>
      </c>
    </row>
    <row r="26" spans="1:27" ht="20.100000000000001" customHeight="1">
      <c r="A26" s="3">
        <v>2013</v>
      </c>
      <c r="B26" s="1" t="s">
        <v>46</v>
      </c>
      <c r="C26" s="1" t="s">
        <v>45</v>
      </c>
      <c r="D26" s="6">
        <v>312.3</v>
      </c>
      <c r="E26" s="6">
        <v>77849</v>
      </c>
      <c r="F26" s="6">
        <v>57464</v>
      </c>
      <c r="G26" s="6">
        <v>21863</v>
      </c>
      <c r="H26" s="6">
        <v>2.58</v>
      </c>
      <c r="I26" s="6">
        <v>30519</v>
      </c>
      <c r="J26" s="6">
        <v>78944</v>
      </c>
      <c r="K26" s="6">
        <v>28833</v>
      </c>
      <c r="L26" s="6">
        <v>-23811</v>
      </c>
      <c r="M26" s="6">
        <v>-8148</v>
      </c>
      <c r="N26" s="6">
        <v>2.7118000000000002</v>
      </c>
      <c r="O26" s="6">
        <v>0.1976</v>
      </c>
      <c r="P26" s="6">
        <v>27.694299999999998</v>
      </c>
      <c r="Q26" s="6">
        <v>15.3499</v>
      </c>
      <c r="R26" s="6">
        <v>23.882200000000001</v>
      </c>
      <c r="S26" s="6">
        <v>28.0839</v>
      </c>
      <c r="T26" s="6">
        <v>-0.54559999999999997</v>
      </c>
      <c r="U26" s="6">
        <v>35.720399999999998</v>
      </c>
      <c r="V26" s="7">
        <v>118000</v>
      </c>
      <c r="W26" s="6">
        <v>1.4648000000000001</v>
      </c>
      <c r="X26" s="8">
        <f t="shared" si="0"/>
        <v>0.28083854641678119</v>
      </c>
      <c r="Y26" s="9">
        <f t="shared" si="1"/>
        <v>-4.5358321880684116E-5</v>
      </c>
      <c r="Z26" s="8">
        <f t="shared" si="2"/>
        <v>0.73814692545825888</v>
      </c>
      <c r="AA26" s="8">
        <f t="shared" si="3"/>
        <v>0.37037084612519106</v>
      </c>
    </row>
    <row r="27" spans="1:27" ht="20.100000000000001" customHeight="1">
      <c r="A27" s="3">
        <v>2012</v>
      </c>
      <c r="B27" s="1" t="s">
        <v>46</v>
      </c>
      <c r="C27" s="1" t="s">
        <v>45</v>
      </c>
      <c r="D27" s="6">
        <v>224.8</v>
      </c>
      <c r="E27" s="6">
        <v>73723</v>
      </c>
      <c r="F27" s="6">
        <v>56193</v>
      </c>
      <c r="G27" s="6">
        <v>16978</v>
      </c>
      <c r="H27" s="6">
        <v>2</v>
      </c>
      <c r="I27" s="6">
        <v>30923</v>
      </c>
      <c r="J27" s="6">
        <v>66363</v>
      </c>
      <c r="K27" s="6">
        <v>31626</v>
      </c>
      <c r="L27" s="6">
        <v>-24786</v>
      </c>
      <c r="M27" s="6">
        <v>-9408</v>
      </c>
      <c r="N27" s="6">
        <v>2.6029</v>
      </c>
      <c r="O27" s="6">
        <v>0.18</v>
      </c>
      <c r="P27" s="6">
        <v>25.583500000000001</v>
      </c>
      <c r="Q27" s="6">
        <v>14.0001</v>
      </c>
      <c r="R27" s="6">
        <v>22.0276</v>
      </c>
      <c r="S27" s="6">
        <v>23.029499999999999</v>
      </c>
      <c r="T27" s="6">
        <v>0.57979999999999998</v>
      </c>
      <c r="U27" s="6">
        <v>34.132800000000003</v>
      </c>
      <c r="V27" s="7">
        <v>128000</v>
      </c>
      <c r="W27" s="6">
        <v>2.0693000000000001</v>
      </c>
      <c r="X27" s="8">
        <f t="shared" si="0"/>
        <v>0.23029448069123612</v>
      </c>
      <c r="Y27" s="9">
        <f t="shared" si="1"/>
        <v>-5.1930876388439628E-5</v>
      </c>
      <c r="Z27" s="8">
        <f t="shared" si="2"/>
        <v>0.76221803236439101</v>
      </c>
      <c r="AA27" s="8">
        <f t="shared" si="3"/>
        <v>0.42898417047597087</v>
      </c>
    </row>
    <row r="28" spans="1:27" ht="20.100000000000001" customHeight="1">
      <c r="A28" s="3">
        <v>2011</v>
      </c>
      <c r="B28" s="1" t="s">
        <v>46</v>
      </c>
      <c r="C28" s="1" t="s">
        <v>45</v>
      </c>
      <c r="D28" s="6">
        <v>218.38</v>
      </c>
      <c r="E28" s="6">
        <v>69943</v>
      </c>
      <c r="F28" s="6">
        <v>54366</v>
      </c>
      <c r="G28" s="6">
        <v>23150</v>
      </c>
      <c r="H28" s="6">
        <v>2.69</v>
      </c>
      <c r="I28" s="6">
        <v>29927</v>
      </c>
      <c r="J28" s="6">
        <v>57083</v>
      </c>
      <c r="K28" s="6">
        <v>26994</v>
      </c>
      <c r="L28" s="6">
        <v>-14616</v>
      </c>
      <c r="M28" s="6">
        <v>-8376</v>
      </c>
      <c r="N28" s="6">
        <v>2.6036999999999999</v>
      </c>
      <c r="O28" s="6">
        <v>0.20880000000000001</v>
      </c>
      <c r="P28" s="6">
        <v>40.555</v>
      </c>
      <c r="Q28" s="6">
        <v>21.296399999999998</v>
      </c>
      <c r="R28" s="6">
        <v>33.5488</v>
      </c>
      <c r="S28" s="6">
        <v>33.098399999999998</v>
      </c>
      <c r="T28" s="6">
        <v>0.3921</v>
      </c>
      <c r="U28" s="6">
        <v>52.904600000000002</v>
      </c>
      <c r="V28" s="7">
        <v>99000</v>
      </c>
      <c r="W28" s="6">
        <v>3.1568000000000001</v>
      </c>
      <c r="X28" s="8">
        <f t="shared" si="0"/>
        <v>0.3309838010951775</v>
      </c>
      <c r="Y28" s="9">
        <f t="shared" si="1"/>
        <v>-1.989048224970702E-5</v>
      </c>
      <c r="Z28" s="8">
        <f t="shared" si="2"/>
        <v>0.77729007906438097</v>
      </c>
      <c r="AA28" s="8">
        <f t="shared" si="3"/>
        <v>0.38594283916903765</v>
      </c>
    </row>
    <row r="29" spans="1:27" ht="20.100000000000001" customHeight="1">
      <c r="A29" s="3">
        <v>2010</v>
      </c>
      <c r="B29" s="1" t="s">
        <v>46</v>
      </c>
      <c r="C29" s="1" t="s">
        <v>45</v>
      </c>
      <c r="D29" s="6">
        <v>238.78</v>
      </c>
      <c r="E29" s="6">
        <v>62484</v>
      </c>
      <c r="F29" s="6">
        <v>50089</v>
      </c>
      <c r="G29" s="6">
        <v>18760</v>
      </c>
      <c r="H29" s="6">
        <v>2.1</v>
      </c>
      <c r="I29" s="6">
        <v>26771</v>
      </c>
      <c r="J29" s="6">
        <v>46175</v>
      </c>
      <c r="K29" s="6">
        <v>24073</v>
      </c>
      <c r="L29" s="6">
        <v>-11314</v>
      </c>
      <c r="M29" s="6">
        <v>-13291</v>
      </c>
      <c r="N29" s="6">
        <v>2.1293000000000002</v>
      </c>
      <c r="O29" s="6">
        <v>0.12859999999999999</v>
      </c>
      <c r="P29" s="6">
        <v>40.628</v>
      </c>
      <c r="Q29" s="6">
        <v>21.785299999999999</v>
      </c>
      <c r="R29" s="6">
        <v>36.702300000000001</v>
      </c>
      <c r="S29" s="6">
        <v>30.023700000000002</v>
      </c>
      <c r="T29" s="6">
        <v>0.70569999999999999</v>
      </c>
      <c r="U29" s="6">
        <v>57.505400000000002</v>
      </c>
      <c r="V29" s="7">
        <v>94000</v>
      </c>
      <c r="W29" s="6">
        <v>1.64</v>
      </c>
      <c r="X29" s="8">
        <f t="shared" si="0"/>
        <v>0.30023686063632288</v>
      </c>
      <c r="Y29" s="9">
        <f t="shared" si="1"/>
        <v>-1.3936367714961762E-5</v>
      </c>
      <c r="Z29" s="8">
        <f t="shared" si="2"/>
        <v>0.80162921707957235</v>
      </c>
      <c r="AA29" s="8">
        <f t="shared" si="3"/>
        <v>0.38526662825683378</v>
      </c>
    </row>
    <row r="30" spans="1:27" ht="20.100000000000001" customHeight="1">
      <c r="A30" s="3">
        <v>2009</v>
      </c>
      <c r="B30" s="1" t="s">
        <v>46</v>
      </c>
      <c r="C30" s="1" t="s">
        <v>45</v>
      </c>
      <c r="D30" s="6">
        <v>270.64</v>
      </c>
      <c r="E30" s="6">
        <v>58437</v>
      </c>
      <c r="F30" s="6">
        <v>46282</v>
      </c>
      <c r="G30" s="6">
        <v>14569</v>
      </c>
      <c r="H30" s="6">
        <v>1.62</v>
      </c>
      <c r="I30" s="6">
        <v>22925</v>
      </c>
      <c r="J30" s="6">
        <v>39558</v>
      </c>
      <c r="K30" s="6">
        <v>19037</v>
      </c>
      <c r="L30" s="6">
        <v>-15770</v>
      </c>
      <c r="M30" s="6">
        <v>-7463</v>
      </c>
      <c r="N30" s="6">
        <v>1.8229</v>
      </c>
      <c r="O30" s="6">
        <v>0.14530000000000001</v>
      </c>
      <c r="P30" s="6">
        <v>36.829500000000003</v>
      </c>
      <c r="Q30" s="6">
        <v>18.705100000000002</v>
      </c>
      <c r="R30" s="6">
        <v>33.643500000000003</v>
      </c>
      <c r="S30" s="6">
        <v>24.931100000000001</v>
      </c>
      <c r="T30" s="6">
        <v>1.7695000000000001</v>
      </c>
      <c r="U30" s="6">
        <v>57.594099999999997</v>
      </c>
      <c r="V30" s="7">
        <v>90000</v>
      </c>
      <c r="W30" s="6">
        <v>-0.35549999999999998</v>
      </c>
      <c r="X30" s="8">
        <f t="shared" si="0"/>
        <v>0.24931122405325393</v>
      </c>
      <c r="Y30" s="9">
        <f t="shared" si="1"/>
        <v>2.2405325392327313E-5</v>
      </c>
      <c r="Z30" s="8">
        <f t="shared" si="2"/>
        <v>0.79199822030562828</v>
      </c>
      <c r="AA30" s="8">
        <f t="shared" si="3"/>
        <v>0.325769632253538</v>
      </c>
    </row>
    <row r="31" spans="1:27" ht="20.100000000000001" customHeight="1">
      <c r="A31" s="3">
        <v>2022</v>
      </c>
      <c r="B31" s="1" t="s">
        <v>47</v>
      </c>
      <c r="C31" s="1" t="s">
        <v>45</v>
      </c>
      <c r="D31" s="6">
        <v>1144.3499999999999</v>
      </c>
      <c r="E31" s="6">
        <v>282836</v>
      </c>
      <c r="F31" s="6">
        <v>156633</v>
      </c>
      <c r="G31" s="6">
        <v>59972</v>
      </c>
      <c r="H31" s="6">
        <v>4.5599999999999996</v>
      </c>
      <c r="I31" s="6">
        <v>90770</v>
      </c>
      <c r="J31" s="6">
        <v>256144</v>
      </c>
      <c r="K31" s="6">
        <v>91495</v>
      </c>
      <c r="L31" s="6">
        <v>-20298</v>
      </c>
      <c r="M31" s="6">
        <v>-69757</v>
      </c>
      <c r="N31" s="6">
        <v>2.3780000000000001</v>
      </c>
      <c r="O31" s="6">
        <v>5.74E-2</v>
      </c>
      <c r="P31" s="6">
        <v>23.413399999999999</v>
      </c>
      <c r="Q31" s="6">
        <v>16.418800000000001</v>
      </c>
      <c r="R31" s="6">
        <v>22.142600000000002</v>
      </c>
      <c r="S31" s="6">
        <v>21.203800000000001</v>
      </c>
      <c r="T31" s="6">
        <v>-0.36130000000000001</v>
      </c>
      <c r="U31" s="6">
        <v>26.642399999999999</v>
      </c>
      <c r="V31" s="7">
        <v>190234</v>
      </c>
      <c r="W31" s="6">
        <v>8.0028000000000006</v>
      </c>
      <c r="X31" s="8">
        <f t="shared" si="0"/>
        <v>0.21203807153261961</v>
      </c>
      <c r="Y31" s="9">
        <f t="shared" si="1"/>
        <v>7.1532619614345094E-6</v>
      </c>
      <c r="Z31" s="8">
        <f t="shared" si="2"/>
        <v>0.55379442503783116</v>
      </c>
      <c r="AA31" s="8">
        <f t="shared" si="3"/>
        <v>0.32349135187882733</v>
      </c>
    </row>
    <row r="32" spans="1:27" ht="20.100000000000001" customHeight="1">
      <c r="A32" s="3">
        <v>2021</v>
      </c>
      <c r="B32" s="1" t="s">
        <v>47</v>
      </c>
      <c r="C32" s="1" t="s">
        <v>45</v>
      </c>
      <c r="D32" s="6">
        <v>1910.26</v>
      </c>
      <c r="E32" s="6">
        <v>257637</v>
      </c>
      <c r="F32" s="6">
        <v>146698</v>
      </c>
      <c r="G32" s="6">
        <v>76033</v>
      </c>
      <c r="H32" s="6">
        <v>5.61</v>
      </c>
      <c r="I32" s="6">
        <v>91155</v>
      </c>
      <c r="J32" s="6">
        <v>251635</v>
      </c>
      <c r="K32" s="6">
        <v>91652</v>
      </c>
      <c r="L32" s="6">
        <v>-35523</v>
      </c>
      <c r="M32" s="6">
        <v>-61362</v>
      </c>
      <c r="N32" s="6">
        <v>2.9281000000000001</v>
      </c>
      <c r="O32" s="6">
        <v>5.8900000000000001E-2</v>
      </c>
      <c r="P32" s="6">
        <v>30.215599999999998</v>
      </c>
      <c r="Q32" s="6">
        <v>21.1633</v>
      </c>
      <c r="R32" s="6">
        <v>28.535399999999999</v>
      </c>
      <c r="S32" s="6">
        <v>29.511700000000001</v>
      </c>
      <c r="T32" s="6">
        <v>1.7122999999999999</v>
      </c>
      <c r="U32" s="6">
        <v>33.456099999999999</v>
      </c>
      <c r="V32" s="7">
        <v>156500</v>
      </c>
      <c r="W32" s="6">
        <v>4.6978999999999997</v>
      </c>
      <c r="X32" s="8">
        <f t="shared" si="0"/>
        <v>0.29511677282377918</v>
      </c>
      <c r="Y32" s="9">
        <f t="shared" si="1"/>
        <v>-2.2717622083945344E-5</v>
      </c>
      <c r="Z32" s="8">
        <f t="shared" si="2"/>
        <v>0.5693980290098084</v>
      </c>
      <c r="AA32" s="8">
        <f t="shared" si="3"/>
        <v>0.35574082915109245</v>
      </c>
    </row>
    <row r="33" spans="1:27" ht="20.100000000000001" customHeight="1">
      <c r="A33" s="3">
        <v>2020</v>
      </c>
      <c r="B33" s="1" t="s">
        <v>47</v>
      </c>
      <c r="C33" s="1" t="s">
        <v>45</v>
      </c>
      <c r="D33" s="6">
        <v>1179.4000000000001</v>
      </c>
      <c r="E33" s="6">
        <v>182527</v>
      </c>
      <c r="F33" s="6">
        <v>97795</v>
      </c>
      <c r="G33" s="6">
        <v>40269</v>
      </c>
      <c r="H33" s="6">
        <v>2.93</v>
      </c>
      <c r="I33" s="6">
        <v>54921</v>
      </c>
      <c r="J33" s="6">
        <v>222544</v>
      </c>
      <c r="K33" s="6">
        <v>65124</v>
      </c>
      <c r="L33" s="6">
        <v>-32773</v>
      </c>
      <c r="M33" s="6">
        <v>-24408</v>
      </c>
      <c r="N33" s="6">
        <v>3.0668000000000002</v>
      </c>
      <c r="O33" s="6">
        <v>6.2600000000000003E-2</v>
      </c>
      <c r="P33" s="6">
        <v>18.094899999999999</v>
      </c>
      <c r="Q33" s="6">
        <v>12.5992</v>
      </c>
      <c r="R33" s="6">
        <v>17.0288</v>
      </c>
      <c r="S33" s="6">
        <v>22.061900000000001</v>
      </c>
      <c r="T33" s="6">
        <v>0.84299999999999997</v>
      </c>
      <c r="U33" s="6">
        <v>20.142199999999999</v>
      </c>
      <c r="V33" s="7">
        <v>135301</v>
      </c>
      <c r="W33" s="6">
        <v>1.2336</v>
      </c>
      <c r="X33" s="8">
        <f t="shared" si="0"/>
        <v>0.22061941520980458</v>
      </c>
      <c r="Y33" s="9">
        <f t="shared" si="1"/>
        <v>4.152098045651087E-5</v>
      </c>
      <c r="Z33" s="8">
        <f t="shared" si="2"/>
        <v>0.53578374706207854</v>
      </c>
      <c r="AA33" s="8">
        <f t="shared" si="3"/>
        <v>0.35679105009121936</v>
      </c>
    </row>
    <row r="34" spans="1:27" ht="20.100000000000001" customHeight="1">
      <c r="A34" s="3">
        <v>2019</v>
      </c>
      <c r="B34" s="1" t="s">
        <v>47</v>
      </c>
      <c r="C34" s="1" t="s">
        <v>45</v>
      </c>
      <c r="D34" s="6">
        <v>917.82</v>
      </c>
      <c r="E34" s="6">
        <v>161857</v>
      </c>
      <c r="F34" s="6">
        <v>89961</v>
      </c>
      <c r="G34" s="6">
        <v>34343</v>
      </c>
      <c r="H34" s="6">
        <v>2.4580000000000002</v>
      </c>
      <c r="I34" s="6">
        <v>46012</v>
      </c>
      <c r="J34" s="6">
        <v>201442</v>
      </c>
      <c r="K34" s="6">
        <v>54520</v>
      </c>
      <c r="L34" s="6">
        <v>-29491</v>
      </c>
      <c r="M34" s="6">
        <v>-23209</v>
      </c>
      <c r="N34" s="6">
        <v>3.3740999999999999</v>
      </c>
      <c r="O34" s="6">
        <v>2.2599999999999999E-2</v>
      </c>
      <c r="P34" s="6">
        <v>17.0486</v>
      </c>
      <c r="Q34" s="6">
        <v>12.4472</v>
      </c>
      <c r="R34" s="6">
        <v>16.671700000000001</v>
      </c>
      <c r="S34" s="6">
        <v>21.2181</v>
      </c>
      <c r="T34" s="6">
        <v>0.55659999999999998</v>
      </c>
      <c r="U34" s="6">
        <v>19.203299999999999</v>
      </c>
      <c r="V34" s="7">
        <v>118899</v>
      </c>
      <c r="W34" s="6">
        <v>1.8122</v>
      </c>
      <c r="X34" s="8">
        <f t="shared" ref="X34:X65" si="4">G34/E34</f>
        <v>0.21218112284300339</v>
      </c>
      <c r="Y34" s="9">
        <f t="shared" ref="Y34:Y65" si="5">X34*100-S34</f>
        <v>1.2284300339615584E-5</v>
      </c>
      <c r="Z34" s="8">
        <f t="shared" ref="Z34:Z65" si="6">F34/E34</f>
        <v>0.5558054331910266</v>
      </c>
      <c r="AA34" s="8">
        <f t="shared" ref="AA34:AA65" si="7">K34/E34</f>
        <v>0.33684054443119543</v>
      </c>
    </row>
    <row r="35" spans="1:27" ht="20.100000000000001" customHeight="1">
      <c r="A35" s="3">
        <v>2018</v>
      </c>
      <c r="B35" s="1" t="s">
        <v>47</v>
      </c>
      <c r="C35" s="1" t="s">
        <v>45</v>
      </c>
      <c r="D35" s="6">
        <v>719.63</v>
      </c>
      <c r="E35" s="6">
        <v>136819</v>
      </c>
      <c r="F35" s="6">
        <v>77270</v>
      </c>
      <c r="G35" s="6">
        <v>30736</v>
      </c>
      <c r="H35" s="6">
        <v>2.1850000000000001</v>
      </c>
      <c r="I35" s="6">
        <v>36559</v>
      </c>
      <c r="J35" s="6">
        <v>177628</v>
      </c>
      <c r="K35" s="6">
        <v>47971</v>
      </c>
      <c r="L35" s="6">
        <v>-28504</v>
      </c>
      <c r="M35" s="6">
        <v>-13179</v>
      </c>
      <c r="N35" s="6">
        <v>3.919</v>
      </c>
      <c r="O35" s="6">
        <v>2.2599999999999999E-2</v>
      </c>
      <c r="P35" s="6">
        <v>17.303599999999999</v>
      </c>
      <c r="Q35" s="6">
        <v>13.203200000000001</v>
      </c>
      <c r="R35" s="6">
        <v>16.921399999999998</v>
      </c>
      <c r="S35" s="6">
        <v>22.464700000000001</v>
      </c>
      <c r="T35" s="6">
        <v>-7.0499999999999993E-2</v>
      </c>
      <c r="U35" s="6">
        <v>19.5124</v>
      </c>
      <c r="V35" s="7">
        <v>98771</v>
      </c>
      <c r="W35" s="6">
        <v>2.4426000000000001</v>
      </c>
      <c r="X35" s="8">
        <f t="shared" si="4"/>
        <v>0.22464716157843576</v>
      </c>
      <c r="Y35" s="9">
        <f t="shared" si="5"/>
        <v>1.6157843575115294E-5</v>
      </c>
      <c r="Z35" s="8">
        <f t="shared" si="6"/>
        <v>0.5647607422945643</v>
      </c>
      <c r="AA35" s="8">
        <f t="shared" si="7"/>
        <v>0.35061650794114851</v>
      </c>
    </row>
    <row r="36" spans="1:27" ht="20.100000000000001" customHeight="1">
      <c r="A36" s="3">
        <v>2017</v>
      </c>
      <c r="B36" s="1" t="s">
        <v>47</v>
      </c>
      <c r="C36" s="1" t="s">
        <v>45</v>
      </c>
      <c r="D36" s="6">
        <v>726.47</v>
      </c>
      <c r="E36" s="6">
        <v>110855</v>
      </c>
      <c r="F36" s="6">
        <v>65272</v>
      </c>
      <c r="G36" s="6">
        <v>12662</v>
      </c>
      <c r="H36" s="6">
        <v>0.9</v>
      </c>
      <c r="I36" s="6">
        <v>33093</v>
      </c>
      <c r="J36" s="6">
        <v>152502</v>
      </c>
      <c r="K36" s="6">
        <v>37091</v>
      </c>
      <c r="L36" s="6">
        <v>-31401</v>
      </c>
      <c r="M36" s="6">
        <v>-8298</v>
      </c>
      <c r="N36" s="6">
        <v>5.1402999999999999</v>
      </c>
      <c r="O36" s="6">
        <v>2.5999999999999999E-2</v>
      </c>
      <c r="P36" s="6">
        <v>8.3027999999999995</v>
      </c>
      <c r="Q36" s="6">
        <v>6.4177999999999997</v>
      </c>
      <c r="R36" s="6">
        <v>8.0922000000000001</v>
      </c>
      <c r="S36" s="6">
        <v>11.4221</v>
      </c>
      <c r="T36" s="6">
        <v>-0.151</v>
      </c>
      <c r="U36" s="6">
        <v>9.5158000000000005</v>
      </c>
      <c r="V36" s="7">
        <v>80110</v>
      </c>
      <c r="W36" s="6">
        <v>2.1301000000000001</v>
      </c>
      <c r="X36" s="8">
        <f t="shared" si="4"/>
        <v>0.11422128005051645</v>
      </c>
      <c r="Y36" s="9">
        <f t="shared" si="5"/>
        <v>2.8005051644797163E-5</v>
      </c>
      <c r="Z36" s="8">
        <f t="shared" si="6"/>
        <v>0.58880519597672631</v>
      </c>
      <c r="AA36" s="8">
        <f t="shared" si="7"/>
        <v>0.3345902304812593</v>
      </c>
    </row>
    <row r="37" spans="1:27" ht="20.100000000000001" customHeight="1">
      <c r="A37" s="3">
        <v>2016</v>
      </c>
      <c r="B37" s="1" t="s">
        <v>47</v>
      </c>
      <c r="C37" s="1" t="s">
        <v>45</v>
      </c>
      <c r="D37" s="6">
        <v>530.84</v>
      </c>
      <c r="E37" s="6">
        <v>90272</v>
      </c>
      <c r="F37" s="6">
        <v>55134</v>
      </c>
      <c r="G37" s="6">
        <v>19478</v>
      </c>
      <c r="H37" s="6">
        <v>1.3925000000000001</v>
      </c>
      <c r="I37" s="6">
        <v>29860</v>
      </c>
      <c r="J37" s="6">
        <v>139036</v>
      </c>
      <c r="K37" s="6">
        <v>36036</v>
      </c>
      <c r="L37" s="6">
        <v>-31165</v>
      </c>
      <c r="M37" s="6">
        <v>-8332</v>
      </c>
      <c r="N37" s="6">
        <v>6.2907999999999999</v>
      </c>
      <c r="O37" s="6">
        <v>2.8299999999999999E-2</v>
      </c>
      <c r="P37" s="6">
        <v>14.0093</v>
      </c>
      <c r="Q37" s="6">
        <v>11.6289</v>
      </c>
      <c r="R37" s="6">
        <v>13.623699999999999</v>
      </c>
      <c r="S37" s="6">
        <v>21.577000000000002</v>
      </c>
      <c r="T37" s="6">
        <v>0.62490000000000001</v>
      </c>
      <c r="U37" s="6">
        <v>16.3323</v>
      </c>
      <c r="V37" s="7">
        <v>72053</v>
      </c>
      <c r="W37" s="6">
        <v>1.2616000000000001</v>
      </c>
      <c r="X37" s="8">
        <f t="shared" si="4"/>
        <v>0.2157701169797944</v>
      </c>
      <c r="Y37" s="9">
        <f t="shared" si="5"/>
        <v>1.1697979438451966E-5</v>
      </c>
      <c r="Z37" s="8">
        <f t="shared" si="6"/>
        <v>0.61075416518964909</v>
      </c>
      <c r="AA37" s="8">
        <f t="shared" si="7"/>
        <v>0.39919354838709675</v>
      </c>
    </row>
    <row r="38" spans="1:27" ht="20.100000000000001" customHeight="1">
      <c r="A38" s="3">
        <v>2015</v>
      </c>
      <c r="B38" s="1" t="s">
        <v>47</v>
      </c>
      <c r="C38" s="1" t="s">
        <v>45</v>
      </c>
      <c r="D38" s="6">
        <v>521.66999999999996</v>
      </c>
      <c r="E38" s="6">
        <v>74989</v>
      </c>
      <c r="F38" s="6">
        <v>46825</v>
      </c>
      <c r="G38" s="6">
        <v>15826</v>
      </c>
      <c r="H38" s="6">
        <v>1.1419999999999999</v>
      </c>
      <c r="I38" s="6">
        <v>24423</v>
      </c>
      <c r="J38" s="6">
        <v>120331</v>
      </c>
      <c r="K38" s="6">
        <v>26572</v>
      </c>
      <c r="L38" s="6">
        <v>-23711</v>
      </c>
      <c r="M38" s="6">
        <v>-4225</v>
      </c>
      <c r="N38" s="6">
        <v>4.6666999999999996</v>
      </c>
      <c r="O38" s="6">
        <v>4.3400000000000001E-2</v>
      </c>
      <c r="P38" s="6">
        <v>13.585900000000001</v>
      </c>
      <c r="Q38" s="6">
        <v>11.0863</v>
      </c>
      <c r="R38" s="6">
        <v>13.3643</v>
      </c>
      <c r="S38" s="6">
        <v>21.104399999999998</v>
      </c>
      <c r="T38" s="6">
        <v>0.3054</v>
      </c>
      <c r="U38" s="6">
        <v>16.248100000000001</v>
      </c>
      <c r="V38" s="7">
        <v>61814</v>
      </c>
      <c r="W38" s="6">
        <v>0.1186</v>
      </c>
      <c r="X38" s="8">
        <f t="shared" si="4"/>
        <v>0.21104428649535265</v>
      </c>
      <c r="Y38" s="9">
        <f t="shared" si="5"/>
        <v>2.8649535266822568E-5</v>
      </c>
      <c r="Z38" s="8">
        <f t="shared" si="6"/>
        <v>0.62442491565429592</v>
      </c>
      <c r="AA38" s="8">
        <f t="shared" si="7"/>
        <v>0.35434530397791675</v>
      </c>
    </row>
    <row r="39" spans="1:27" ht="20.100000000000001" customHeight="1">
      <c r="A39" s="3">
        <v>2014</v>
      </c>
      <c r="B39" s="1" t="s">
        <v>47</v>
      </c>
      <c r="C39" s="1" t="s">
        <v>45</v>
      </c>
      <c r="D39" s="6">
        <v>354.75</v>
      </c>
      <c r="E39" s="6">
        <v>66001</v>
      </c>
      <c r="F39" s="6">
        <v>40310</v>
      </c>
      <c r="G39" s="6">
        <v>14136</v>
      </c>
      <c r="H39" s="6">
        <v>1.0285</v>
      </c>
      <c r="I39" s="6">
        <v>21475</v>
      </c>
      <c r="J39" s="6">
        <v>103860</v>
      </c>
      <c r="K39" s="6">
        <v>23024</v>
      </c>
      <c r="L39" s="6">
        <v>-21055</v>
      </c>
      <c r="M39" s="6">
        <v>-2087</v>
      </c>
      <c r="N39" s="6">
        <v>4.6878000000000002</v>
      </c>
      <c r="O39" s="6">
        <v>5.04E-2</v>
      </c>
      <c r="P39" s="6">
        <v>13.113799999999999</v>
      </c>
      <c r="Q39" s="6">
        <v>10.542899999999999</v>
      </c>
      <c r="R39" s="6">
        <v>12.718500000000001</v>
      </c>
      <c r="S39" s="6">
        <v>21.417899999999999</v>
      </c>
      <c r="T39" s="6">
        <v>4.6300000000000001E-2</v>
      </c>
      <c r="U39" s="6">
        <v>16.281400000000001</v>
      </c>
      <c r="V39" s="7">
        <v>53600</v>
      </c>
      <c r="W39" s="6">
        <v>1.6222000000000001</v>
      </c>
      <c r="X39" s="8">
        <f t="shared" si="4"/>
        <v>0.21417857305192345</v>
      </c>
      <c r="Y39" s="9">
        <f t="shared" si="5"/>
        <v>-4.2694807653731459E-5</v>
      </c>
      <c r="Z39" s="8">
        <f t="shared" si="6"/>
        <v>0.6107483219951213</v>
      </c>
      <c r="AA39" s="8">
        <f t="shared" si="7"/>
        <v>0.34884319934546448</v>
      </c>
    </row>
    <row r="40" spans="1:27" ht="20.100000000000001" customHeight="1">
      <c r="A40" s="3">
        <v>2013</v>
      </c>
      <c r="B40" s="1" t="s">
        <v>47</v>
      </c>
      <c r="C40" s="1" t="s">
        <v>45</v>
      </c>
      <c r="D40" s="6">
        <v>371.53</v>
      </c>
      <c r="E40" s="6">
        <v>55519</v>
      </c>
      <c r="F40" s="6">
        <v>33526</v>
      </c>
      <c r="G40" s="6">
        <v>12733</v>
      </c>
      <c r="H40" s="6">
        <v>0.9395</v>
      </c>
      <c r="I40" s="6">
        <v>19342</v>
      </c>
      <c r="J40" s="6">
        <v>87309</v>
      </c>
      <c r="K40" s="6">
        <v>18659</v>
      </c>
      <c r="L40" s="6">
        <v>-13679</v>
      </c>
      <c r="M40" s="6">
        <v>-857</v>
      </c>
      <c r="N40" s="6">
        <v>4.5816999999999997</v>
      </c>
      <c r="O40" s="6">
        <v>6.0100000000000001E-2</v>
      </c>
      <c r="P40" s="6">
        <v>15.072900000000001</v>
      </c>
      <c r="Q40" s="6">
        <v>11.8644</v>
      </c>
      <c r="R40" s="6">
        <v>14.6965</v>
      </c>
      <c r="S40" s="6">
        <v>22.9345</v>
      </c>
      <c r="T40" s="6">
        <v>-0.23730000000000001</v>
      </c>
      <c r="U40" s="6">
        <v>18.867100000000001</v>
      </c>
      <c r="V40" s="7">
        <v>47756</v>
      </c>
      <c r="W40" s="6">
        <v>1.4648000000000001</v>
      </c>
      <c r="X40" s="8">
        <f t="shared" si="4"/>
        <v>0.22934490895008916</v>
      </c>
      <c r="Y40" s="9">
        <f t="shared" si="5"/>
        <v>-9.1049910828644443E-6</v>
      </c>
      <c r="Z40" s="8">
        <f t="shared" si="6"/>
        <v>0.60386534339595455</v>
      </c>
      <c r="AA40" s="8">
        <f t="shared" si="7"/>
        <v>0.33608314270790179</v>
      </c>
    </row>
    <row r="41" spans="1:27" ht="20.100000000000001" customHeight="1">
      <c r="A41" s="3">
        <v>2012</v>
      </c>
      <c r="B41" s="1" t="s">
        <v>47</v>
      </c>
      <c r="C41" s="1" t="s">
        <v>45</v>
      </c>
      <c r="D41" s="6">
        <v>230.54</v>
      </c>
      <c r="E41" s="6">
        <v>46039</v>
      </c>
      <c r="F41" s="6">
        <v>28863</v>
      </c>
      <c r="G41" s="6">
        <v>10737</v>
      </c>
      <c r="H41" s="6">
        <v>0.80800000000000005</v>
      </c>
      <c r="I41" s="6">
        <v>16796</v>
      </c>
      <c r="J41" s="6">
        <v>71715</v>
      </c>
      <c r="K41" s="6">
        <v>16619</v>
      </c>
      <c r="L41" s="6">
        <v>-13056</v>
      </c>
      <c r="M41" s="6">
        <v>1229</v>
      </c>
      <c r="N41" s="6">
        <v>4.2165999999999997</v>
      </c>
      <c r="O41" s="6">
        <v>7.7200000000000005E-2</v>
      </c>
      <c r="P41" s="6">
        <v>16.1096</v>
      </c>
      <c r="Q41" s="6">
        <v>12.3169</v>
      </c>
      <c r="R41" s="6">
        <v>15.465199999999999</v>
      </c>
      <c r="S41" s="6">
        <v>23.3215</v>
      </c>
      <c r="T41" s="6">
        <v>0.15390000000000001</v>
      </c>
      <c r="U41" s="6">
        <v>21.512</v>
      </c>
      <c r="V41" s="7">
        <v>53861</v>
      </c>
      <c r="W41" s="6">
        <v>2.0693000000000001</v>
      </c>
      <c r="X41" s="8">
        <f t="shared" si="4"/>
        <v>0.23321531744825039</v>
      </c>
      <c r="Y41" s="9">
        <f t="shared" si="5"/>
        <v>3.1744825037094415E-5</v>
      </c>
      <c r="Z41" s="8">
        <f t="shared" si="6"/>
        <v>0.6269249983709464</v>
      </c>
      <c r="AA41" s="8">
        <f t="shared" si="7"/>
        <v>0.36097656334846545</v>
      </c>
    </row>
    <row r="42" spans="1:27" ht="20.100000000000001" customHeight="1">
      <c r="A42" s="3">
        <v>2011</v>
      </c>
      <c r="B42" s="1" t="s">
        <v>47</v>
      </c>
      <c r="C42" s="1" t="s">
        <v>45</v>
      </c>
      <c r="D42" s="6">
        <v>207.65</v>
      </c>
      <c r="E42" s="6">
        <v>37905</v>
      </c>
      <c r="F42" s="6">
        <v>24717</v>
      </c>
      <c r="G42" s="6">
        <v>9737</v>
      </c>
      <c r="H42" s="6">
        <v>0.74399999999999999</v>
      </c>
      <c r="I42" s="6">
        <v>13593</v>
      </c>
      <c r="J42" s="6">
        <v>58145</v>
      </c>
      <c r="K42" s="6">
        <v>14565</v>
      </c>
      <c r="L42" s="6">
        <v>-19041</v>
      </c>
      <c r="M42" s="6">
        <v>807</v>
      </c>
      <c r="N42" s="6">
        <v>5.9192</v>
      </c>
      <c r="O42" s="6">
        <v>7.2300000000000003E-2</v>
      </c>
      <c r="P42" s="6">
        <v>16.746099999999998</v>
      </c>
      <c r="Q42" s="6">
        <v>13.416700000000001</v>
      </c>
      <c r="R42" s="6">
        <v>15.928100000000001</v>
      </c>
      <c r="S42" s="6">
        <v>25.687899999999999</v>
      </c>
      <c r="T42" s="6">
        <v>0.3039</v>
      </c>
      <c r="U42" s="6">
        <v>19.7822</v>
      </c>
      <c r="V42" s="7">
        <v>32467</v>
      </c>
      <c r="W42" s="6">
        <v>3.1568000000000001</v>
      </c>
      <c r="X42" s="8">
        <f t="shared" si="4"/>
        <v>0.25687903970452447</v>
      </c>
      <c r="Y42" s="9">
        <f t="shared" si="5"/>
        <v>3.970452446822037E-6</v>
      </c>
      <c r="Z42" s="8">
        <f t="shared" si="6"/>
        <v>0.65207756232686975</v>
      </c>
      <c r="AA42" s="8">
        <f t="shared" si="7"/>
        <v>0.38425009893153939</v>
      </c>
    </row>
    <row r="43" spans="1:27" ht="20.100000000000001" customHeight="1">
      <c r="A43" s="3">
        <v>2010</v>
      </c>
      <c r="B43" s="1" t="s">
        <v>47</v>
      </c>
      <c r="C43" s="1" t="s">
        <v>45</v>
      </c>
      <c r="D43" s="6">
        <v>188.54</v>
      </c>
      <c r="E43" s="6">
        <v>29321</v>
      </c>
      <c r="F43" s="6">
        <v>18904</v>
      </c>
      <c r="G43" s="6">
        <v>8505</v>
      </c>
      <c r="H43" s="6">
        <v>0.65780000000000005</v>
      </c>
      <c r="I43" s="6">
        <v>11777</v>
      </c>
      <c r="J43" s="6">
        <v>46241</v>
      </c>
      <c r="K43" s="6">
        <v>11081</v>
      </c>
      <c r="L43" s="6">
        <v>-10680</v>
      </c>
      <c r="M43" s="6">
        <v>3050</v>
      </c>
      <c r="N43" s="6">
        <v>4.1578999999999997</v>
      </c>
      <c r="O43" s="6">
        <v>7.4899999999999994E-2</v>
      </c>
      <c r="P43" s="6">
        <v>18.392800000000001</v>
      </c>
      <c r="Q43" s="6">
        <v>14.701599999999999</v>
      </c>
      <c r="R43" s="6">
        <v>18.392800000000001</v>
      </c>
      <c r="S43" s="6">
        <v>29.006499999999999</v>
      </c>
      <c r="T43" s="6">
        <v>-0.1195</v>
      </c>
      <c r="U43" s="6">
        <v>21.840699999999998</v>
      </c>
      <c r="V43" s="7">
        <v>24400</v>
      </c>
      <c r="W43" s="6">
        <v>1.64</v>
      </c>
      <c r="X43" s="8">
        <f t="shared" si="4"/>
        <v>0.29006514102520375</v>
      </c>
      <c r="Y43" s="9">
        <f t="shared" si="5"/>
        <v>1.41025203781453E-5</v>
      </c>
      <c r="Z43" s="8">
        <f t="shared" si="6"/>
        <v>0.64472562327342176</v>
      </c>
      <c r="AA43" s="8">
        <f t="shared" si="7"/>
        <v>0.37792026192831074</v>
      </c>
    </row>
    <row r="44" spans="1:27" ht="20.100000000000001" customHeight="1">
      <c r="A44" s="3">
        <v>2009</v>
      </c>
      <c r="B44" s="1" t="s">
        <v>47</v>
      </c>
      <c r="C44" s="1" t="s">
        <v>45</v>
      </c>
      <c r="D44" s="6">
        <v>195.27</v>
      </c>
      <c r="E44" s="6">
        <v>23651</v>
      </c>
      <c r="F44" s="6">
        <v>14807</v>
      </c>
      <c r="G44" s="6">
        <v>6520</v>
      </c>
      <c r="H44" s="6">
        <v>0.51029999999999998</v>
      </c>
      <c r="I44" s="6">
        <v>9836</v>
      </c>
      <c r="J44" s="6">
        <v>36004</v>
      </c>
      <c r="K44" s="6">
        <v>9316</v>
      </c>
      <c r="L44" s="6">
        <v>-8019</v>
      </c>
      <c r="M44" s="6">
        <v>233</v>
      </c>
      <c r="N44" s="6">
        <v>10.617800000000001</v>
      </c>
      <c r="O44" s="6">
        <v>0</v>
      </c>
      <c r="P44" s="6">
        <v>18.109100000000002</v>
      </c>
      <c r="Q44" s="6">
        <v>16.100000000000001</v>
      </c>
      <c r="R44" s="6">
        <v>18.109100000000002</v>
      </c>
      <c r="S44" s="6">
        <v>27.567499999999999</v>
      </c>
      <c r="T44" s="6">
        <v>0.66569999999999996</v>
      </c>
      <c r="U44" s="6">
        <v>21.499700000000001</v>
      </c>
      <c r="V44" s="7">
        <v>19835</v>
      </c>
      <c r="W44" s="6">
        <v>-0.35549999999999998</v>
      </c>
      <c r="X44" s="8">
        <f t="shared" si="4"/>
        <v>0.2756754471269714</v>
      </c>
      <c r="Y44" s="9">
        <f t="shared" si="5"/>
        <v>4.4712697139459578E-5</v>
      </c>
      <c r="Z44" s="8">
        <f t="shared" si="6"/>
        <v>0.62606232294617559</v>
      </c>
      <c r="AA44" s="8">
        <f t="shared" si="7"/>
        <v>0.3938945499133229</v>
      </c>
    </row>
    <row r="45" spans="1:27" ht="20.100000000000001" customHeight="1">
      <c r="A45" s="3">
        <v>2022</v>
      </c>
      <c r="B45" s="1" t="s">
        <v>48</v>
      </c>
      <c r="C45" s="1" t="s">
        <v>49</v>
      </c>
      <c r="D45" s="6">
        <v>81.19</v>
      </c>
      <c r="E45" s="6">
        <v>27518</v>
      </c>
      <c r="F45" s="6">
        <v>11653</v>
      </c>
      <c r="G45" s="6">
        <v>2419</v>
      </c>
      <c r="H45" s="6">
        <v>2.09</v>
      </c>
      <c r="I45" s="6">
        <v>5154</v>
      </c>
      <c r="J45" s="6">
        <v>20274</v>
      </c>
      <c r="K45" s="6">
        <v>5813</v>
      </c>
      <c r="L45" s="6">
        <v>-3421</v>
      </c>
      <c r="M45" s="6">
        <v>-1110</v>
      </c>
      <c r="N45" s="6">
        <v>1.2753000000000001</v>
      </c>
      <c r="O45" s="6">
        <v>0.51380000000000003</v>
      </c>
      <c r="P45" s="6">
        <v>11.9315</v>
      </c>
      <c r="Q45" s="6">
        <v>3.073</v>
      </c>
      <c r="R45" s="6">
        <v>7.8818000000000001</v>
      </c>
      <c r="S45" s="6">
        <v>8.7905999999999995</v>
      </c>
      <c r="T45" s="6">
        <v>0.28799999999999998</v>
      </c>
      <c r="U45" s="6">
        <v>29.2256</v>
      </c>
      <c r="V45" s="7">
        <v>29900</v>
      </c>
      <c r="W45" s="6">
        <v>8.0028000000000006</v>
      </c>
      <c r="X45" s="8">
        <f t="shared" si="4"/>
        <v>8.7906097826876958E-2</v>
      </c>
      <c r="Y45" s="9">
        <f t="shared" si="5"/>
        <v>9.7826876963580389E-6</v>
      </c>
      <c r="Z45" s="8">
        <f t="shared" si="6"/>
        <v>0.42346827531070574</v>
      </c>
      <c r="AA45" s="8">
        <f t="shared" si="7"/>
        <v>0.21124354967657533</v>
      </c>
    </row>
    <row r="46" spans="1:27" ht="20.100000000000001" customHeight="1">
      <c r="A46" s="3">
        <v>2021</v>
      </c>
      <c r="B46" s="1" t="s">
        <v>48</v>
      </c>
      <c r="C46" s="1" t="s">
        <v>49</v>
      </c>
      <c r="D46" s="6">
        <v>221.57</v>
      </c>
      <c r="E46" s="6">
        <v>25371</v>
      </c>
      <c r="F46" s="6">
        <v>11921</v>
      </c>
      <c r="G46" s="6">
        <v>4169</v>
      </c>
      <c r="H46" s="6">
        <v>3.52</v>
      </c>
      <c r="I46" s="6">
        <v>5527</v>
      </c>
      <c r="J46" s="6">
        <v>21727</v>
      </c>
      <c r="K46" s="6">
        <v>5797</v>
      </c>
      <c r="L46" s="6">
        <v>-5149</v>
      </c>
      <c r="M46" s="6">
        <v>-557</v>
      </c>
      <c r="N46" s="6">
        <v>1.2218</v>
      </c>
      <c r="O46" s="6">
        <v>0.3705</v>
      </c>
      <c r="P46" s="6">
        <v>19.188099999999999</v>
      </c>
      <c r="Q46" s="6">
        <v>5.4997999999999996</v>
      </c>
      <c r="R46" s="6">
        <v>14.001200000000001</v>
      </c>
      <c r="S46" s="6">
        <v>16.432200000000002</v>
      </c>
      <c r="T46" s="6">
        <v>-0.48430000000000001</v>
      </c>
      <c r="U46" s="6">
        <v>46.627899999999997</v>
      </c>
      <c r="V46" s="7">
        <v>30900</v>
      </c>
      <c r="W46" s="6">
        <v>4.6978999999999997</v>
      </c>
      <c r="X46" s="8">
        <f t="shared" si="4"/>
        <v>0.16432146939419021</v>
      </c>
      <c r="Y46" s="9">
        <f t="shared" si="5"/>
        <v>-5.30605809814233E-5</v>
      </c>
      <c r="Z46" s="8">
        <f t="shared" si="6"/>
        <v>0.46986717117969334</v>
      </c>
      <c r="AA46" s="8">
        <f t="shared" si="7"/>
        <v>0.22848921997556265</v>
      </c>
    </row>
    <row r="47" spans="1:27" ht="20.100000000000001" customHeight="1">
      <c r="A47" s="3">
        <v>2020</v>
      </c>
      <c r="B47" s="1" t="s">
        <v>48</v>
      </c>
      <c r="C47" s="1" t="s">
        <v>49</v>
      </c>
      <c r="D47" s="6">
        <v>274.41000000000003</v>
      </c>
      <c r="E47" s="6">
        <v>21454</v>
      </c>
      <c r="F47" s="6">
        <v>10001</v>
      </c>
      <c r="G47" s="6">
        <v>4202</v>
      </c>
      <c r="H47" s="6">
        <v>3.54</v>
      </c>
      <c r="I47" s="6">
        <v>4478</v>
      </c>
      <c r="J47" s="6">
        <v>20063</v>
      </c>
      <c r="K47" s="6">
        <v>6219</v>
      </c>
      <c r="L47" s="6">
        <v>-16545</v>
      </c>
      <c r="M47" s="6">
        <v>12454</v>
      </c>
      <c r="N47" s="6">
        <v>1.3264</v>
      </c>
      <c r="O47" s="6">
        <v>0.44550000000000001</v>
      </c>
      <c r="P47" s="6">
        <v>20.943999999999999</v>
      </c>
      <c r="Q47" s="6">
        <v>5.9705000000000004</v>
      </c>
      <c r="R47" s="6">
        <v>14.4887</v>
      </c>
      <c r="S47" s="6">
        <v>19.586099999999998</v>
      </c>
      <c r="T47" s="6">
        <v>1.7623</v>
      </c>
      <c r="U47" s="6">
        <v>42.5304</v>
      </c>
      <c r="V47" s="7">
        <v>26500</v>
      </c>
      <c r="W47" s="6">
        <v>1.2336</v>
      </c>
      <c r="X47" s="8">
        <f t="shared" si="4"/>
        <v>0.19586091171809453</v>
      </c>
      <c r="Y47" s="9">
        <f t="shared" si="5"/>
        <v>-8.8281905448184261E-6</v>
      </c>
      <c r="Z47" s="8">
        <f t="shared" si="6"/>
        <v>0.46616015661415122</v>
      </c>
      <c r="AA47" s="8">
        <f t="shared" si="7"/>
        <v>0.28987601379696093</v>
      </c>
    </row>
    <row r="48" spans="1:27" ht="20.100000000000001" customHeight="1">
      <c r="A48" s="3">
        <v>2019</v>
      </c>
      <c r="B48" s="1" t="s">
        <v>48</v>
      </c>
      <c r="C48" s="1" t="s">
        <v>49</v>
      </c>
      <c r="D48" s="6">
        <v>127.01</v>
      </c>
      <c r="E48" s="6">
        <v>17772</v>
      </c>
      <c r="F48" s="6">
        <v>7987</v>
      </c>
      <c r="G48" s="6">
        <v>2459</v>
      </c>
      <c r="H48" s="6">
        <v>2.0699999999999998</v>
      </c>
      <c r="I48" s="6">
        <v>3631</v>
      </c>
      <c r="J48" s="6">
        <v>16929</v>
      </c>
      <c r="K48" s="6">
        <v>4071</v>
      </c>
      <c r="L48" s="6">
        <v>-5742</v>
      </c>
      <c r="M48" s="6">
        <v>4187</v>
      </c>
      <c r="N48" s="6">
        <v>1.43</v>
      </c>
      <c r="O48" s="6">
        <v>0.29330000000000001</v>
      </c>
      <c r="P48" s="6">
        <v>14.525399999999999</v>
      </c>
      <c r="Q48" s="6">
        <v>4.7903000000000002</v>
      </c>
      <c r="R48" s="6">
        <v>11.231400000000001</v>
      </c>
      <c r="S48" s="6">
        <v>13.836399999999999</v>
      </c>
      <c r="T48" s="6">
        <v>-1.0250999999999999</v>
      </c>
      <c r="U48" s="6">
        <v>24.7409</v>
      </c>
      <c r="V48" s="7">
        <v>23200</v>
      </c>
      <c r="W48" s="6">
        <v>1.8122</v>
      </c>
      <c r="X48" s="8">
        <f t="shared" si="4"/>
        <v>0.13836371820841772</v>
      </c>
      <c r="Y48" s="9">
        <f t="shared" si="5"/>
        <v>-2.8179158226393497E-5</v>
      </c>
      <c r="Z48" s="8">
        <f t="shared" si="6"/>
        <v>0.44941480981318926</v>
      </c>
      <c r="AA48" s="8">
        <f t="shared" si="7"/>
        <v>0.22906819716407834</v>
      </c>
    </row>
    <row r="49" spans="1:27" ht="20.100000000000001" customHeight="1">
      <c r="A49" s="3">
        <v>2018</v>
      </c>
      <c r="B49" s="1" t="s">
        <v>48</v>
      </c>
      <c r="C49" s="1" t="s">
        <v>49</v>
      </c>
      <c r="D49" s="6">
        <v>99.09</v>
      </c>
      <c r="E49" s="6">
        <v>15451</v>
      </c>
      <c r="F49" s="6">
        <v>7189</v>
      </c>
      <c r="G49" s="6">
        <v>2057</v>
      </c>
      <c r="H49" s="6">
        <v>1.71</v>
      </c>
      <c r="I49" s="6">
        <v>2970</v>
      </c>
      <c r="J49" s="6">
        <v>15386</v>
      </c>
      <c r="K49" s="6">
        <v>5480</v>
      </c>
      <c r="L49" s="6">
        <v>821</v>
      </c>
      <c r="M49" s="6">
        <v>-1240</v>
      </c>
      <c r="N49" s="6">
        <v>1.2725</v>
      </c>
      <c r="O49" s="6">
        <v>0.12989999999999999</v>
      </c>
      <c r="P49" s="6">
        <v>13.369300000000001</v>
      </c>
      <c r="Q49" s="6">
        <v>4.7470999999999997</v>
      </c>
      <c r="R49" s="6">
        <v>13.369300000000001</v>
      </c>
      <c r="S49" s="6">
        <v>13.3131</v>
      </c>
      <c r="T49" s="6">
        <v>2.347</v>
      </c>
      <c r="U49" s="6">
        <v>24.852</v>
      </c>
      <c r="V49" s="7">
        <v>21800</v>
      </c>
      <c r="W49" s="6">
        <v>2.4426000000000001</v>
      </c>
      <c r="X49" s="8">
        <f t="shared" si="4"/>
        <v>0.13313054171251051</v>
      </c>
      <c r="Y49" s="9">
        <f t="shared" si="5"/>
        <v>-4.5828748948650855E-5</v>
      </c>
      <c r="Z49" s="8">
        <f t="shared" si="6"/>
        <v>0.46527732832826352</v>
      </c>
      <c r="AA49" s="8">
        <f t="shared" si="7"/>
        <v>0.35466960067309561</v>
      </c>
    </row>
    <row r="50" spans="1:27" ht="20.100000000000001" customHeight="1">
      <c r="A50" s="3">
        <v>2017</v>
      </c>
      <c r="B50" s="1" t="s">
        <v>48</v>
      </c>
      <c r="C50" s="1" t="s">
        <v>49</v>
      </c>
      <c r="D50" s="6">
        <v>88.48</v>
      </c>
      <c r="E50" s="6">
        <v>13094</v>
      </c>
      <c r="F50" s="6">
        <v>6399</v>
      </c>
      <c r="G50" s="6">
        <v>1795</v>
      </c>
      <c r="H50" s="6">
        <v>1.47</v>
      </c>
      <c r="I50" s="6">
        <v>2932</v>
      </c>
      <c r="J50" s="6">
        <v>15994</v>
      </c>
      <c r="K50" s="6">
        <v>2531</v>
      </c>
      <c r="L50" s="6">
        <v>-4485</v>
      </c>
      <c r="M50" s="6">
        <v>4084</v>
      </c>
      <c r="N50" s="6">
        <v>1.4278999999999999</v>
      </c>
      <c r="O50" s="6">
        <v>6.25E-2</v>
      </c>
      <c r="P50" s="6">
        <v>11.223000000000001</v>
      </c>
      <c r="Q50" s="6">
        <v>4.4023000000000003</v>
      </c>
      <c r="R50" s="6">
        <v>11.223000000000001</v>
      </c>
      <c r="S50" s="6">
        <v>13.708600000000001</v>
      </c>
      <c r="T50" s="6">
        <v>-0.51690000000000003</v>
      </c>
      <c r="U50" s="6">
        <v>15.6264</v>
      </c>
      <c r="V50" s="7">
        <v>18700</v>
      </c>
      <c r="W50" s="6">
        <v>2.1301000000000001</v>
      </c>
      <c r="X50" s="8">
        <f t="shared" si="4"/>
        <v>0.13708568810142049</v>
      </c>
      <c r="Y50" s="9">
        <f t="shared" si="5"/>
        <v>-3.1189857951474664E-5</v>
      </c>
      <c r="Z50" s="8">
        <f t="shared" si="6"/>
        <v>0.48869711318160991</v>
      </c>
      <c r="AA50" s="8">
        <f t="shared" si="7"/>
        <v>0.19329463876584696</v>
      </c>
    </row>
    <row r="51" spans="1:27" ht="20.100000000000001" customHeight="1">
      <c r="A51" s="3">
        <v>2016</v>
      </c>
      <c r="B51" s="1" t="s">
        <v>48</v>
      </c>
      <c r="C51" s="1" t="s">
        <v>49</v>
      </c>
      <c r="D51" s="6">
        <v>47.63</v>
      </c>
      <c r="E51" s="6">
        <v>10842</v>
      </c>
      <c r="F51" s="6">
        <v>5141</v>
      </c>
      <c r="G51" s="6">
        <v>1401</v>
      </c>
      <c r="H51" s="6">
        <v>1.1499999999999999</v>
      </c>
      <c r="I51" s="6">
        <v>2310</v>
      </c>
      <c r="J51" s="6">
        <v>14712</v>
      </c>
      <c r="K51" s="6">
        <v>3158</v>
      </c>
      <c r="L51" s="6">
        <v>-5904</v>
      </c>
      <c r="M51" s="6">
        <v>2038</v>
      </c>
      <c r="N51" s="6">
        <v>1.5246</v>
      </c>
      <c r="O51" s="6">
        <v>0</v>
      </c>
      <c r="P51" s="6">
        <v>9.5228000000000002</v>
      </c>
      <c r="Q51" s="6">
        <v>4.2321999999999997</v>
      </c>
      <c r="R51" s="6">
        <v>9.5228000000000002</v>
      </c>
      <c r="S51" s="6">
        <v>12.922000000000001</v>
      </c>
      <c r="T51" s="6">
        <v>0.53820000000000001</v>
      </c>
      <c r="U51" s="6">
        <v>13.417</v>
      </c>
      <c r="V51" s="7">
        <v>18100</v>
      </c>
      <c r="W51" s="6">
        <v>1.2616000000000001</v>
      </c>
      <c r="X51" s="8">
        <f t="shared" si="4"/>
        <v>0.1292197011621472</v>
      </c>
      <c r="Y51" s="9">
        <f t="shared" si="5"/>
        <v>-2.9883785281015207E-5</v>
      </c>
      <c r="Z51" s="8">
        <f t="shared" si="6"/>
        <v>0.47417450654860727</v>
      </c>
      <c r="AA51" s="8">
        <f t="shared" si="7"/>
        <v>0.29127467256963657</v>
      </c>
    </row>
    <row r="52" spans="1:27" ht="20.100000000000001" customHeight="1">
      <c r="A52" s="3">
        <v>2015</v>
      </c>
      <c r="B52" s="1" t="s">
        <v>48</v>
      </c>
      <c r="C52" s="1" t="s">
        <v>49</v>
      </c>
      <c r="D52" s="6">
        <v>44.23</v>
      </c>
      <c r="E52" s="6">
        <v>9248</v>
      </c>
      <c r="F52" s="6">
        <v>4719</v>
      </c>
      <c r="G52" s="6">
        <v>1228</v>
      </c>
      <c r="H52" s="6">
        <v>1</v>
      </c>
      <c r="I52" s="6">
        <v>2069</v>
      </c>
      <c r="J52" s="6">
        <v>13759</v>
      </c>
      <c r="K52" s="6">
        <v>2546</v>
      </c>
      <c r="L52" s="6">
        <v>-8038</v>
      </c>
      <c r="M52" s="6">
        <v>4728</v>
      </c>
      <c r="N52" s="6">
        <v>1.5163</v>
      </c>
      <c r="O52" s="6">
        <v>0</v>
      </c>
      <c r="P52" s="6">
        <v>8.9251000000000005</v>
      </c>
      <c r="Q52" s="6">
        <v>4.2519</v>
      </c>
      <c r="R52" s="6">
        <v>8.9251000000000005</v>
      </c>
      <c r="S52" s="6">
        <v>13.278600000000001</v>
      </c>
      <c r="T52" s="6">
        <v>9.35E-2</v>
      </c>
      <c r="U52" s="6">
        <v>13.159000000000001</v>
      </c>
      <c r="V52" s="7">
        <v>16800</v>
      </c>
      <c r="W52" s="6">
        <v>0.1186</v>
      </c>
      <c r="X52" s="8">
        <f t="shared" si="4"/>
        <v>0.13278546712802769</v>
      </c>
      <c r="Y52" s="9">
        <f t="shared" si="5"/>
        <v>-5.3287197232521066E-5</v>
      </c>
      <c r="Z52" s="8">
        <f t="shared" si="6"/>
        <v>0.51027249134948094</v>
      </c>
      <c r="AA52" s="8">
        <f t="shared" si="7"/>
        <v>0.27530276816608995</v>
      </c>
    </row>
    <row r="53" spans="1:27" ht="20.100000000000001" customHeight="1">
      <c r="A53" s="3">
        <v>2014</v>
      </c>
      <c r="B53" s="1" t="s">
        <v>48</v>
      </c>
      <c r="C53" s="1" t="s">
        <v>49</v>
      </c>
      <c r="D53" s="6"/>
      <c r="E53" s="6">
        <v>8025</v>
      </c>
      <c r="F53" s="6">
        <v>4218</v>
      </c>
      <c r="G53" s="6">
        <v>419</v>
      </c>
      <c r="H53" s="6">
        <v>0.34</v>
      </c>
      <c r="I53" s="6">
        <v>1784</v>
      </c>
      <c r="J53" s="6">
        <v>8248</v>
      </c>
      <c r="K53" s="6">
        <v>2220</v>
      </c>
      <c r="L53" s="6">
        <v>-2881</v>
      </c>
      <c r="M53" s="6">
        <v>1284</v>
      </c>
      <c r="N53" s="6">
        <v>1.3224</v>
      </c>
      <c r="O53" s="6">
        <v>0.13250000000000001</v>
      </c>
      <c r="P53" s="6">
        <v>5.08</v>
      </c>
      <c r="Q53" s="6">
        <v>1.9117999999999999</v>
      </c>
      <c r="R53" s="6">
        <v>5.08</v>
      </c>
      <c r="S53" s="6">
        <v>5.2211999999999996</v>
      </c>
      <c r="T53" s="6">
        <v>0.10299999999999999</v>
      </c>
      <c r="U53" s="6">
        <v>8.5457999999999998</v>
      </c>
      <c r="V53" s="7">
        <v>15800</v>
      </c>
      <c r="W53" s="6">
        <v>1.6222000000000001</v>
      </c>
      <c r="X53" s="8">
        <f t="shared" si="4"/>
        <v>5.2211838006230527E-2</v>
      </c>
      <c r="Y53" s="9">
        <f t="shared" si="5"/>
        <v>-1.6199376947412247E-5</v>
      </c>
      <c r="Z53" s="8">
        <f t="shared" si="6"/>
        <v>0.52560747663551399</v>
      </c>
      <c r="AA53" s="8">
        <f t="shared" si="7"/>
        <v>0.27663551401869158</v>
      </c>
    </row>
    <row r="54" spans="1:27" ht="20.100000000000001" customHeight="1">
      <c r="A54" s="3">
        <v>2022</v>
      </c>
      <c r="B54" s="1" t="s">
        <v>50</v>
      </c>
      <c r="C54" s="1" t="s">
        <v>51</v>
      </c>
      <c r="D54" s="6">
        <v>46.99</v>
      </c>
      <c r="E54" s="6">
        <v>56437</v>
      </c>
      <c r="F54" s="6">
        <v>20762</v>
      </c>
      <c r="G54" s="6">
        <v>10247</v>
      </c>
      <c r="H54" s="6">
        <v>13.01</v>
      </c>
      <c r="I54" s="6">
        <v>20640</v>
      </c>
      <c r="J54" s="6">
        <v>42235</v>
      </c>
      <c r="K54" s="6">
        <v>4207</v>
      </c>
      <c r="L54" s="6">
        <v>-3626</v>
      </c>
      <c r="M54" s="6">
        <v>-676</v>
      </c>
      <c r="N54" s="6">
        <v>1</v>
      </c>
      <c r="O54" s="6">
        <v>0.64349999999999996</v>
      </c>
      <c r="P54" s="6">
        <v>27.008400000000002</v>
      </c>
      <c r="Q54" s="6">
        <v>2.1410999999999998</v>
      </c>
      <c r="R54" s="6">
        <v>16.244599999999998</v>
      </c>
      <c r="S54" s="6">
        <v>18.156500000000001</v>
      </c>
      <c r="T54" s="6">
        <v>-1.9207000000000001</v>
      </c>
      <c r="U54" s="6">
        <v>26.6982</v>
      </c>
      <c r="V54" s="7">
        <v>26200</v>
      </c>
      <c r="W54" s="6">
        <v>8.0028000000000006</v>
      </c>
      <c r="X54" s="8">
        <f t="shared" si="4"/>
        <v>0.18156528518525081</v>
      </c>
      <c r="Y54" s="9">
        <f t="shared" si="5"/>
        <v>2.8518525081011603E-5</v>
      </c>
      <c r="Z54" s="8">
        <f t="shared" si="6"/>
        <v>0.3678792281659195</v>
      </c>
      <c r="AA54" s="8">
        <f t="shared" si="7"/>
        <v>7.4543296064638442E-2</v>
      </c>
    </row>
    <row r="55" spans="1:27" ht="20.100000000000001" customHeight="1">
      <c r="A55" s="3">
        <v>2021</v>
      </c>
      <c r="B55" s="1" t="s">
        <v>50</v>
      </c>
      <c r="C55" s="1" t="s">
        <v>51</v>
      </c>
      <c r="D55" s="6">
        <v>47.21</v>
      </c>
      <c r="E55" s="6">
        <v>52057</v>
      </c>
      <c r="F55" s="6">
        <v>15322</v>
      </c>
      <c r="G55" s="6">
        <v>9359</v>
      </c>
      <c r="H55" s="6">
        <v>10.82</v>
      </c>
      <c r="I55" s="6">
        <v>15382</v>
      </c>
      <c r="J55" s="6">
        <v>68912</v>
      </c>
      <c r="K55" s="6">
        <v>6279</v>
      </c>
      <c r="L55" s="6">
        <v>-3280</v>
      </c>
      <c r="M55" s="6">
        <v>-3735</v>
      </c>
      <c r="N55" s="6">
        <v>1</v>
      </c>
      <c r="O55" s="6">
        <v>0.43769999999999998</v>
      </c>
      <c r="P55" s="6">
        <v>14.5016</v>
      </c>
      <c r="Q55" s="6">
        <v>1.6646000000000001</v>
      </c>
      <c r="R55" s="6">
        <v>10.015700000000001</v>
      </c>
      <c r="S55" s="6">
        <v>17.978400000000001</v>
      </c>
      <c r="T55" s="6">
        <v>6.0658000000000003</v>
      </c>
      <c r="U55" s="6">
        <v>14.3995</v>
      </c>
      <c r="V55" s="7">
        <v>36600</v>
      </c>
      <c r="W55" s="6">
        <v>4.6978999999999997</v>
      </c>
      <c r="X55" s="8">
        <f t="shared" si="4"/>
        <v>0.1797836986380314</v>
      </c>
      <c r="Y55" s="9">
        <f t="shared" si="5"/>
        <v>-3.0136196862429188E-5</v>
      </c>
      <c r="Z55" s="8">
        <f t="shared" si="6"/>
        <v>0.2943312138617285</v>
      </c>
      <c r="AA55" s="8">
        <f t="shared" si="7"/>
        <v>0.12061778435176826</v>
      </c>
    </row>
    <row r="56" spans="1:27" ht="20.100000000000001" customHeight="1">
      <c r="A56" s="3">
        <v>2020</v>
      </c>
      <c r="B56" s="1" t="s">
        <v>50</v>
      </c>
      <c r="C56" s="1" t="s">
        <v>51</v>
      </c>
      <c r="D56" s="6">
        <v>32.619999999999997</v>
      </c>
      <c r="E56" s="6">
        <v>43736</v>
      </c>
      <c r="F56" s="6">
        <v>6912</v>
      </c>
      <c r="G56" s="6">
        <v>-5973</v>
      </c>
      <c r="H56" s="6">
        <v>-6.88</v>
      </c>
      <c r="I56" s="6">
        <v>6821</v>
      </c>
      <c r="J56" s="6">
        <v>67199</v>
      </c>
      <c r="K56" s="6">
        <v>1038</v>
      </c>
      <c r="L56" s="6">
        <v>-6202</v>
      </c>
      <c r="M56" s="6">
        <v>5058</v>
      </c>
      <c r="N56" s="6">
        <v>1</v>
      </c>
      <c r="O56" s="6">
        <v>0.55859999999999999</v>
      </c>
      <c r="P56" s="6">
        <v>-8.7432999999999996</v>
      </c>
      <c r="Q56" s="6">
        <v>-0.99460000000000004</v>
      </c>
      <c r="R56" s="6">
        <v>-5.5693999999999999</v>
      </c>
      <c r="S56" s="6">
        <v>-13.6569</v>
      </c>
      <c r="T56" s="6">
        <v>3.2256</v>
      </c>
      <c r="U56" s="6">
        <v>-8.6801999999999992</v>
      </c>
      <c r="V56" s="7">
        <v>45000</v>
      </c>
      <c r="W56" s="6">
        <v>1.2336</v>
      </c>
      <c r="X56" s="8">
        <f t="shared" si="4"/>
        <v>-0.13656941649899396</v>
      </c>
      <c r="Y56" s="9">
        <f t="shared" si="5"/>
        <v>-4.1649899396034584E-5</v>
      </c>
      <c r="Z56" s="8">
        <f t="shared" si="6"/>
        <v>0.15803914395463692</v>
      </c>
      <c r="AA56" s="8">
        <f t="shared" si="7"/>
        <v>2.373330894457655E-2</v>
      </c>
    </row>
    <row r="57" spans="1:27" ht="20.100000000000001" customHeight="1">
      <c r="A57" s="3">
        <v>2019</v>
      </c>
      <c r="B57" s="1" t="s">
        <v>50</v>
      </c>
      <c r="C57" s="1" t="s">
        <v>51</v>
      </c>
      <c r="D57" s="6">
        <v>44.65</v>
      </c>
      <c r="E57" s="6">
        <v>49746</v>
      </c>
      <c r="F57" s="6">
        <v>11975</v>
      </c>
      <c r="G57" s="6">
        <v>3326</v>
      </c>
      <c r="H57" s="6">
        <v>3.74</v>
      </c>
      <c r="I57" s="6">
        <v>11817</v>
      </c>
      <c r="J57" s="6">
        <v>67427</v>
      </c>
      <c r="K57" s="6">
        <v>-1807</v>
      </c>
      <c r="L57" s="6">
        <v>-5475</v>
      </c>
      <c r="M57" s="6">
        <v>7258</v>
      </c>
      <c r="N57" s="6">
        <v>1</v>
      </c>
      <c r="O57" s="6">
        <v>0.52429999999999999</v>
      </c>
      <c r="P57" s="6">
        <v>6.1561000000000003</v>
      </c>
      <c r="Q57" s="6">
        <v>0.78490000000000004</v>
      </c>
      <c r="R57" s="6">
        <v>4.0096999999999996</v>
      </c>
      <c r="S57" s="6">
        <v>6.6859999999999999</v>
      </c>
      <c r="T57" s="6">
        <v>-1.5986</v>
      </c>
      <c r="U57" s="6">
        <v>6.1117999999999997</v>
      </c>
      <c r="V57" s="7">
        <v>46000</v>
      </c>
      <c r="W57" s="6">
        <v>1.8122</v>
      </c>
      <c r="X57" s="8">
        <f t="shared" si="4"/>
        <v>6.6859647006794518E-2</v>
      </c>
      <c r="Y57" s="9">
        <f t="shared" si="5"/>
        <v>-3.5299320548354274E-5</v>
      </c>
      <c r="Z57" s="8">
        <f t="shared" si="6"/>
        <v>0.24072287219072891</v>
      </c>
      <c r="AA57" s="8">
        <f t="shared" si="7"/>
        <v>-3.6324528605315001E-2</v>
      </c>
    </row>
    <row r="58" spans="1:27" ht="20.100000000000001" customHeight="1">
      <c r="A58" s="3">
        <v>2018</v>
      </c>
      <c r="B58" s="1" t="s">
        <v>50</v>
      </c>
      <c r="C58" s="1" t="s">
        <v>51</v>
      </c>
      <c r="D58" s="6">
        <v>34.86</v>
      </c>
      <c r="E58" s="6">
        <v>47389</v>
      </c>
      <c r="F58" s="6">
        <v>6921</v>
      </c>
      <c r="G58" s="6">
        <v>-6</v>
      </c>
      <c r="H58" s="6">
        <v>-0.01</v>
      </c>
      <c r="I58" s="6">
        <v>6897</v>
      </c>
      <c r="J58" s="6">
        <v>57309</v>
      </c>
      <c r="K58" s="6">
        <v>-394</v>
      </c>
      <c r="L58" s="6">
        <v>-223</v>
      </c>
      <c r="M58" s="6">
        <v>1249</v>
      </c>
      <c r="N58" s="6">
        <v>1</v>
      </c>
      <c r="O58" s="6">
        <v>0.60270000000000001</v>
      </c>
      <c r="P58" s="6">
        <v>0.1797</v>
      </c>
      <c r="Q58" s="6">
        <v>2.0899999999999998E-2</v>
      </c>
      <c r="R58" s="6">
        <v>0.11210000000000001</v>
      </c>
      <c r="S58" s="6">
        <v>-1.2699999999999999E-2</v>
      </c>
      <c r="T58" s="6">
        <v>7.9684999999999997</v>
      </c>
      <c r="U58" s="6">
        <v>0.1797</v>
      </c>
      <c r="V58" s="7">
        <v>49600</v>
      </c>
      <c r="W58" s="6">
        <v>2.4426000000000001</v>
      </c>
      <c r="X58" s="8">
        <f t="shared" si="4"/>
        <v>-1.2661166093397202E-4</v>
      </c>
      <c r="Y58" s="9">
        <f t="shared" si="5"/>
        <v>3.8833906602798313E-5</v>
      </c>
      <c r="Z58" s="8">
        <f t="shared" si="6"/>
        <v>0.14604655088733673</v>
      </c>
      <c r="AA58" s="8">
        <f t="shared" si="7"/>
        <v>-8.3141657346641629E-3</v>
      </c>
    </row>
    <row r="59" spans="1:27" ht="20.100000000000001" customHeight="1">
      <c r="A59" s="3">
        <v>2017</v>
      </c>
      <c r="B59" s="1" t="s">
        <v>50</v>
      </c>
      <c r="C59" s="1" t="s">
        <v>51</v>
      </c>
      <c r="D59" s="6">
        <v>53.56</v>
      </c>
      <c r="E59" s="6">
        <v>49520</v>
      </c>
      <c r="F59" s="6">
        <v>6849</v>
      </c>
      <c r="G59" s="6">
        <v>-6084</v>
      </c>
      <c r="H59" s="6">
        <v>-6.54</v>
      </c>
      <c r="I59" s="6">
        <v>6435</v>
      </c>
      <c r="J59" s="6">
        <v>65708</v>
      </c>
      <c r="K59" s="6">
        <v>-7818</v>
      </c>
      <c r="L59" s="6">
        <v>14041</v>
      </c>
      <c r="M59" s="6">
        <v>-5697</v>
      </c>
      <c r="N59" s="6">
        <v>1</v>
      </c>
      <c r="O59" s="6">
        <v>0.48149999999999998</v>
      </c>
      <c r="P59" s="6">
        <v>-9.2225999999999999</v>
      </c>
      <c r="Q59" s="6">
        <v>-1.2161</v>
      </c>
      <c r="R59" s="6">
        <v>-6.2251000000000003</v>
      </c>
      <c r="S59" s="6">
        <v>-12.2859</v>
      </c>
      <c r="T59" s="6">
        <v>-11.611000000000001</v>
      </c>
      <c r="U59" s="6">
        <v>-9.2225999999999999</v>
      </c>
      <c r="V59" s="7">
        <v>49800</v>
      </c>
      <c r="W59" s="6">
        <v>2.1301000000000001</v>
      </c>
      <c r="X59" s="8">
        <f t="shared" si="4"/>
        <v>-0.122859450726979</v>
      </c>
      <c r="Y59" s="9">
        <f t="shared" si="5"/>
        <v>-4.5072697899328773E-5</v>
      </c>
      <c r="Z59" s="8">
        <f t="shared" si="6"/>
        <v>0.13830775444264942</v>
      </c>
      <c r="AA59" s="8">
        <f t="shared" si="7"/>
        <v>-0.15787560581583199</v>
      </c>
    </row>
    <row r="60" spans="1:27" ht="20.100000000000001" customHeight="1">
      <c r="A60" s="3">
        <v>2016</v>
      </c>
      <c r="B60" s="1" t="s">
        <v>50</v>
      </c>
      <c r="C60" s="1" t="s">
        <v>51</v>
      </c>
      <c r="D60" s="6">
        <v>67.08</v>
      </c>
      <c r="E60" s="6">
        <v>52367</v>
      </c>
      <c r="F60" s="6">
        <v>5236</v>
      </c>
      <c r="G60" s="6">
        <v>-849</v>
      </c>
      <c r="H60" s="6">
        <v>-0.78</v>
      </c>
      <c r="I60" s="6">
        <v>4805</v>
      </c>
      <c r="J60" s="6">
        <v>76858</v>
      </c>
      <c r="K60" s="6">
        <v>3502</v>
      </c>
      <c r="L60" s="6">
        <v>3252</v>
      </c>
      <c r="M60" s="6">
        <v>-6833</v>
      </c>
      <c r="N60" s="6">
        <v>1</v>
      </c>
      <c r="O60" s="6">
        <v>0.4022</v>
      </c>
      <c r="P60" s="6">
        <v>-0.33700000000000002</v>
      </c>
      <c r="Q60" s="6">
        <v>-5.1999999999999998E-2</v>
      </c>
      <c r="R60" s="6">
        <v>-0.24030000000000001</v>
      </c>
      <c r="S60" s="6">
        <v>-1.6213</v>
      </c>
      <c r="T60" s="6">
        <v>1.0537000000000001</v>
      </c>
      <c r="U60" s="6">
        <v>-0.33700000000000002</v>
      </c>
      <c r="V60" s="7">
        <v>56400</v>
      </c>
      <c r="W60" s="6">
        <v>1.2616000000000001</v>
      </c>
      <c r="X60" s="8">
        <f t="shared" si="4"/>
        <v>-1.6212500238699943E-2</v>
      </c>
      <c r="Y60" s="9">
        <f t="shared" si="5"/>
        <v>4.997613000568002E-5</v>
      </c>
      <c r="Z60" s="8">
        <f t="shared" si="6"/>
        <v>9.9986632803101189E-2</v>
      </c>
      <c r="AA60" s="8">
        <f t="shared" si="7"/>
        <v>6.6874176485191061E-2</v>
      </c>
    </row>
    <row r="61" spans="1:27" ht="20.100000000000001" customHeight="1">
      <c r="A61" s="3">
        <v>2015</v>
      </c>
      <c r="B61" s="1" t="s">
        <v>50</v>
      </c>
      <c r="C61" s="1" t="s">
        <v>51</v>
      </c>
      <c r="D61" s="6">
        <v>76.66</v>
      </c>
      <c r="E61" s="6">
        <v>58327</v>
      </c>
      <c r="F61" s="6">
        <v>10565</v>
      </c>
      <c r="G61" s="6">
        <v>2196</v>
      </c>
      <c r="H61" s="6">
        <v>1.65</v>
      </c>
      <c r="I61" s="6">
        <v>9958</v>
      </c>
      <c r="J61" s="6">
        <v>90210</v>
      </c>
      <c r="K61" s="6">
        <v>2877</v>
      </c>
      <c r="L61" s="6">
        <v>8462</v>
      </c>
      <c r="M61" s="6">
        <v>-11429</v>
      </c>
      <c r="N61" s="6">
        <v>1</v>
      </c>
      <c r="O61" s="6">
        <v>0.32419999999999999</v>
      </c>
      <c r="P61" s="6">
        <v>2.4630999999999998</v>
      </c>
      <c r="Q61" s="6">
        <v>0.44719999999999999</v>
      </c>
      <c r="R61" s="6">
        <v>1.8601000000000001</v>
      </c>
      <c r="S61" s="6">
        <v>3.7650000000000001</v>
      </c>
      <c r="T61" s="6">
        <v>-1.3029999999999999</v>
      </c>
      <c r="U61" s="6">
        <v>2.4630999999999998</v>
      </c>
      <c r="V61" s="7">
        <v>66400</v>
      </c>
      <c r="W61" s="6">
        <v>0.1186</v>
      </c>
      <c r="X61" s="8">
        <f t="shared" si="4"/>
        <v>3.764980197850052E-2</v>
      </c>
      <c r="Y61" s="9">
        <f t="shared" si="5"/>
        <v>-1.9802149948233705E-5</v>
      </c>
      <c r="Z61" s="8">
        <f t="shared" si="6"/>
        <v>0.18113395168618307</v>
      </c>
      <c r="AA61" s="8">
        <f t="shared" si="7"/>
        <v>4.9325355324292351E-2</v>
      </c>
    </row>
    <row r="62" spans="1:27" ht="20.100000000000001" customHeight="1">
      <c r="A62" s="3">
        <v>2014</v>
      </c>
      <c r="B62" s="1" t="s">
        <v>50</v>
      </c>
      <c r="C62" s="1" t="s">
        <v>51</v>
      </c>
      <c r="D62" s="6">
        <v>78.41</v>
      </c>
      <c r="E62" s="6">
        <v>64406</v>
      </c>
      <c r="F62" s="6">
        <v>19219</v>
      </c>
      <c r="G62" s="6">
        <v>7529</v>
      </c>
      <c r="H62" s="6">
        <v>5.2</v>
      </c>
      <c r="I62" s="6">
        <v>16752</v>
      </c>
      <c r="J62" s="6">
        <v>107272</v>
      </c>
      <c r="K62" s="6">
        <v>5007</v>
      </c>
      <c r="L62" s="6">
        <v>14284</v>
      </c>
      <c r="M62" s="6">
        <v>-19788</v>
      </c>
      <c r="N62" s="6">
        <v>1</v>
      </c>
      <c r="O62" s="6">
        <v>0.29099999999999998</v>
      </c>
      <c r="P62" s="6">
        <v>7.0606</v>
      </c>
      <c r="Q62" s="6">
        <v>1.4690000000000001</v>
      </c>
      <c r="R62" s="6">
        <v>5.4690000000000003</v>
      </c>
      <c r="S62" s="6">
        <v>11.6899</v>
      </c>
      <c r="T62" s="6">
        <v>-0.50070000000000003</v>
      </c>
      <c r="U62" s="6">
        <v>7.0606</v>
      </c>
      <c r="V62" s="7">
        <v>65000</v>
      </c>
      <c r="W62" s="6">
        <v>1.6222000000000001</v>
      </c>
      <c r="X62" s="8">
        <f t="shared" si="4"/>
        <v>0.11689904667267025</v>
      </c>
      <c r="Y62" s="9">
        <f t="shared" si="5"/>
        <v>4.6672670244163328E-6</v>
      </c>
      <c r="Z62" s="8">
        <f t="shared" si="6"/>
        <v>0.29840387541533397</v>
      </c>
      <c r="AA62" s="8">
        <f t="shared" si="7"/>
        <v>7.7741204235630218E-2</v>
      </c>
    </row>
    <row r="63" spans="1:27" ht="20.100000000000001" customHeight="1">
      <c r="A63" s="3">
        <v>2013</v>
      </c>
      <c r="B63" s="1" t="s">
        <v>50</v>
      </c>
      <c r="C63" s="1" t="s">
        <v>51</v>
      </c>
      <c r="D63" s="6">
        <v>75.16</v>
      </c>
      <c r="E63" s="6">
        <v>68874</v>
      </c>
      <c r="F63" s="6">
        <v>21915</v>
      </c>
      <c r="G63" s="6">
        <v>9085</v>
      </c>
      <c r="H63" s="6">
        <v>6.13</v>
      </c>
      <c r="I63" s="6">
        <v>16922</v>
      </c>
      <c r="J63" s="6">
        <v>101081</v>
      </c>
      <c r="K63" s="6">
        <v>5865</v>
      </c>
      <c r="L63" s="6">
        <v>7099</v>
      </c>
      <c r="M63" s="6">
        <v>-11758</v>
      </c>
      <c r="N63" s="6">
        <v>1</v>
      </c>
      <c r="O63" s="6">
        <v>0.41249999999999998</v>
      </c>
      <c r="P63" s="6">
        <v>8.9116999999999997</v>
      </c>
      <c r="Q63" s="6">
        <v>1.6640999999999999</v>
      </c>
      <c r="R63" s="6">
        <v>6.3093000000000004</v>
      </c>
      <c r="S63" s="6">
        <v>13.190799999999999</v>
      </c>
      <c r="T63" s="6">
        <v>1.7808999999999999</v>
      </c>
      <c r="U63" s="6">
        <v>8.9116999999999997</v>
      </c>
      <c r="V63" s="7">
        <v>64000</v>
      </c>
      <c r="W63" s="6">
        <v>1.4648000000000001</v>
      </c>
      <c r="X63" s="8">
        <f t="shared" si="4"/>
        <v>0.1319075413073148</v>
      </c>
      <c r="Y63" s="9">
        <f t="shared" si="5"/>
        <v>-4.5869268518572426E-5</v>
      </c>
      <c r="Z63" s="8">
        <f t="shared" si="6"/>
        <v>0.31818973778203674</v>
      </c>
      <c r="AA63" s="8">
        <f t="shared" si="7"/>
        <v>8.5155501350291832E-2</v>
      </c>
    </row>
    <row r="64" spans="1:27" ht="20.100000000000001" customHeight="1">
      <c r="A64" s="3">
        <v>2012</v>
      </c>
      <c r="B64" s="1" t="s">
        <v>50</v>
      </c>
      <c r="C64" s="1" t="s">
        <v>51</v>
      </c>
      <c r="D64" s="6">
        <v>52.11</v>
      </c>
      <c r="E64" s="6">
        <v>71214</v>
      </c>
      <c r="F64" s="6">
        <v>21825</v>
      </c>
      <c r="G64" s="6">
        <v>3438</v>
      </c>
      <c r="H64" s="6">
        <v>2.04</v>
      </c>
      <c r="I64" s="6">
        <v>19327</v>
      </c>
      <c r="J64" s="6">
        <v>98669</v>
      </c>
      <c r="K64" s="6">
        <v>3676</v>
      </c>
      <c r="L64" s="6">
        <v>16612</v>
      </c>
      <c r="M64" s="6">
        <v>-20564</v>
      </c>
      <c r="N64" s="6">
        <v>1</v>
      </c>
      <c r="O64" s="6">
        <v>0.49149999999999999</v>
      </c>
      <c r="P64" s="6">
        <v>3.7488999999999999</v>
      </c>
      <c r="Q64" s="6">
        <v>0.67420000000000002</v>
      </c>
      <c r="R64" s="6">
        <v>2.5133999999999999</v>
      </c>
      <c r="S64" s="6">
        <v>4.8277000000000001</v>
      </c>
      <c r="T64" s="6">
        <v>2.2237</v>
      </c>
      <c r="U64" s="6">
        <v>3.7488999999999999</v>
      </c>
      <c r="V64" s="7">
        <v>63000</v>
      </c>
      <c r="W64" s="6">
        <v>2.0693000000000001</v>
      </c>
      <c r="X64" s="8">
        <f t="shared" si="4"/>
        <v>4.8277024180638638E-2</v>
      </c>
      <c r="Y64" s="9">
        <f t="shared" si="5"/>
        <v>2.4180638638071628E-6</v>
      </c>
      <c r="Z64" s="8">
        <f t="shared" si="6"/>
        <v>0.30647063779593903</v>
      </c>
      <c r="AA64" s="8">
        <f t="shared" si="7"/>
        <v>5.1619063667256437E-2</v>
      </c>
    </row>
    <row r="65" spans="1:27" ht="20.100000000000001" customHeight="1">
      <c r="A65" s="3">
        <v>2011</v>
      </c>
      <c r="B65" s="1" t="s">
        <v>50</v>
      </c>
      <c r="C65" s="1" t="s">
        <v>51</v>
      </c>
      <c r="D65" s="6">
        <v>44.06</v>
      </c>
      <c r="E65" s="6">
        <v>65105</v>
      </c>
      <c r="F65" s="6">
        <v>18692</v>
      </c>
      <c r="G65" s="6">
        <v>19810</v>
      </c>
      <c r="H65" s="6">
        <v>11.01</v>
      </c>
      <c r="I65" s="6">
        <v>15225</v>
      </c>
      <c r="J65" s="6">
        <v>102393</v>
      </c>
      <c r="K65" s="6">
        <v>-81</v>
      </c>
      <c r="L65" s="6">
        <v>36448</v>
      </c>
      <c r="M65" s="6">
        <v>-36926</v>
      </c>
      <c r="N65" s="6">
        <v>1</v>
      </c>
      <c r="O65" s="6">
        <v>0.7349</v>
      </c>
      <c r="P65" s="6">
        <v>18.4222</v>
      </c>
      <c r="Q65" s="6">
        <v>3.4106999999999998</v>
      </c>
      <c r="R65" s="6">
        <v>10.6183</v>
      </c>
      <c r="S65" s="6">
        <v>30.427800000000001</v>
      </c>
      <c r="T65" s="6">
        <v>-121.5022</v>
      </c>
      <c r="U65" s="6">
        <v>18.4222</v>
      </c>
      <c r="V65" s="7">
        <v>57000</v>
      </c>
      <c r="W65" s="6">
        <v>3.1568000000000001</v>
      </c>
      <c r="X65" s="8">
        <f t="shared" si="4"/>
        <v>0.30427770524537284</v>
      </c>
      <c r="Y65" s="9">
        <f t="shared" si="5"/>
        <v>-2.947546271769852E-5</v>
      </c>
      <c r="Z65" s="8">
        <f t="shared" si="6"/>
        <v>0.28710544505030333</v>
      </c>
      <c r="AA65" s="8">
        <f t="shared" si="7"/>
        <v>-1.2441440749558406E-3</v>
      </c>
    </row>
    <row r="66" spans="1:27" ht="20.100000000000001" customHeight="1">
      <c r="A66" s="3">
        <v>2010</v>
      </c>
      <c r="B66" s="1" t="s">
        <v>50</v>
      </c>
      <c r="C66" s="1" t="s">
        <v>51</v>
      </c>
      <c r="D66" s="6">
        <v>7.79</v>
      </c>
      <c r="E66" s="6">
        <v>72829</v>
      </c>
      <c r="F66" s="6">
        <v>16787</v>
      </c>
      <c r="G66" s="6">
        <v>2046</v>
      </c>
      <c r="H66" s="6">
        <v>14.98</v>
      </c>
      <c r="I66" s="6">
        <v>21166</v>
      </c>
      <c r="J66" s="6">
        <v>113239</v>
      </c>
      <c r="K66" s="6">
        <v>16597</v>
      </c>
      <c r="L66" s="6">
        <v>-9912</v>
      </c>
      <c r="M66" s="6">
        <v>-9261</v>
      </c>
      <c r="N66" s="6">
        <v>1</v>
      </c>
      <c r="O66" s="6">
        <v>0.75480000000000003</v>
      </c>
      <c r="P66" s="6">
        <v>32.126199999999997</v>
      </c>
      <c r="Q66" s="6">
        <v>1.9393</v>
      </c>
      <c r="R66" s="6">
        <v>6.6699000000000002</v>
      </c>
      <c r="S66" s="6">
        <v>2.8092999999999999</v>
      </c>
      <c r="T66" s="6">
        <v>-15.871499999999999</v>
      </c>
      <c r="U66" s="6">
        <v>11.704499999999999</v>
      </c>
      <c r="V66" s="7">
        <v>63000</v>
      </c>
      <c r="W66" s="6">
        <v>1.64</v>
      </c>
      <c r="X66" s="8">
        <f t="shared" ref="X66:X97" si="8">G66/E66</f>
        <v>2.8093204630023755E-2</v>
      </c>
      <c r="Y66" s="9">
        <f t="shared" ref="Y66:Y97" si="9">X66*100-S66</f>
        <v>2.0463002375681327E-5</v>
      </c>
      <c r="Z66" s="8">
        <f t="shared" ref="Z66:Z97" si="10">F66/E66</f>
        <v>0.23049883974790261</v>
      </c>
      <c r="AA66" s="8">
        <f t="shared" ref="AA66:AA97" si="11">K66/E66</f>
        <v>0.22788998887805681</v>
      </c>
    </row>
    <row r="67" spans="1:27" ht="20.100000000000001" customHeight="1">
      <c r="A67" s="3">
        <v>2009</v>
      </c>
      <c r="B67" s="1" t="s">
        <v>50</v>
      </c>
      <c r="C67" s="1" t="s">
        <v>51</v>
      </c>
      <c r="D67" s="6">
        <v>4.04</v>
      </c>
      <c r="E67" s="6">
        <v>75447</v>
      </c>
      <c r="F67" s="6">
        <v>18614</v>
      </c>
      <c r="G67" s="6">
        <v>-12244</v>
      </c>
      <c r="H67" s="6">
        <v>-90.48</v>
      </c>
      <c r="I67" s="6">
        <v>27765</v>
      </c>
      <c r="J67" s="6">
        <v>98076</v>
      </c>
      <c r="K67" s="6">
        <v>18584</v>
      </c>
      <c r="L67" s="6">
        <v>5778</v>
      </c>
      <c r="M67" s="6">
        <v>-28997</v>
      </c>
      <c r="N67" s="6">
        <v>1</v>
      </c>
      <c r="O67" s="6">
        <v>1.1552</v>
      </c>
      <c r="P67" s="6">
        <v>-45.306100000000001</v>
      </c>
      <c r="Q67" s="6">
        <v>-1.5123</v>
      </c>
      <c r="R67" s="6">
        <v>-6.0640999999999998</v>
      </c>
      <c r="S67" s="6">
        <v>-16.2286</v>
      </c>
      <c r="T67" s="6">
        <v>137.3287</v>
      </c>
      <c r="U67" s="6">
        <v>-13.950699999999999</v>
      </c>
      <c r="V67" s="7">
        <v>96000</v>
      </c>
      <c r="W67" s="6">
        <v>-0.35549999999999998</v>
      </c>
      <c r="X67" s="8">
        <f t="shared" si="8"/>
        <v>-0.16228610812888516</v>
      </c>
      <c r="Y67" s="9">
        <f t="shared" si="9"/>
        <v>-1.0812888515232544E-5</v>
      </c>
      <c r="Z67" s="8">
        <f t="shared" si="10"/>
        <v>0.24671623788884914</v>
      </c>
      <c r="AA67" s="8">
        <f t="shared" si="11"/>
        <v>0.24631860776439091</v>
      </c>
    </row>
    <row r="68" spans="1:27" ht="20.100000000000001" customHeight="1">
      <c r="A68" s="3">
        <v>2022</v>
      </c>
      <c r="B68" s="1" t="s">
        <v>52</v>
      </c>
      <c r="C68" s="1" t="s">
        <v>53</v>
      </c>
      <c r="D68" s="6">
        <v>41.28</v>
      </c>
      <c r="E68" s="6">
        <v>21680</v>
      </c>
      <c r="F68" s="6">
        <v>16824</v>
      </c>
      <c r="G68" s="6">
        <v>1800</v>
      </c>
      <c r="H68" s="6">
        <v>0.84</v>
      </c>
      <c r="I68" s="6">
        <v>5693</v>
      </c>
      <c r="J68" s="6">
        <v>23075</v>
      </c>
      <c r="K68" s="6">
        <v>3721</v>
      </c>
      <c r="L68" s="6">
        <v>-10214</v>
      </c>
      <c r="M68" s="6">
        <v>7133</v>
      </c>
      <c r="N68" s="6">
        <v>0.81169999999999998</v>
      </c>
      <c r="O68" s="6">
        <v>2.2563</v>
      </c>
      <c r="P68" s="6">
        <v>7.8613</v>
      </c>
      <c r="Q68" s="6">
        <v>1.5288999999999999</v>
      </c>
      <c r="R68" s="6">
        <v>2.5615000000000001</v>
      </c>
      <c r="S68" s="6">
        <v>8.3026</v>
      </c>
      <c r="T68" s="6">
        <v>-1.6E-2</v>
      </c>
      <c r="U68" s="6">
        <v>7.8613</v>
      </c>
      <c r="V68" s="7">
        <v>26010</v>
      </c>
      <c r="W68" s="6">
        <v>8.0028000000000006</v>
      </c>
      <c r="X68" s="8">
        <f t="shared" si="8"/>
        <v>8.3025830258302583E-2</v>
      </c>
      <c r="Y68" s="9">
        <f t="shared" si="9"/>
        <v>-1.6974169740890943E-5</v>
      </c>
      <c r="Z68" s="8">
        <f t="shared" si="10"/>
        <v>0.77601476014760151</v>
      </c>
      <c r="AA68" s="8">
        <f t="shared" si="11"/>
        <v>0.17163284132841328</v>
      </c>
    </row>
    <row r="69" spans="1:27" ht="20.100000000000001" customHeight="1">
      <c r="A69" s="3">
        <v>2021</v>
      </c>
      <c r="B69" s="1" t="s">
        <v>52</v>
      </c>
      <c r="C69" s="1" t="s">
        <v>53</v>
      </c>
      <c r="D69" s="6">
        <v>32.200000000000003</v>
      </c>
      <c r="E69" s="6">
        <v>20642</v>
      </c>
      <c r="F69" s="6">
        <v>16261</v>
      </c>
      <c r="G69" s="6">
        <v>-102</v>
      </c>
      <c r="H69" s="6">
        <v>-0.05</v>
      </c>
      <c r="I69" s="6">
        <v>5286</v>
      </c>
      <c r="J69" s="6">
        <v>21223</v>
      </c>
      <c r="K69" s="6">
        <v>2262</v>
      </c>
      <c r="L69" s="6">
        <v>-6905</v>
      </c>
      <c r="M69" s="6">
        <v>4323</v>
      </c>
      <c r="N69" s="6">
        <v>0.63560000000000005</v>
      </c>
      <c r="O69" s="6">
        <v>2.1152000000000002</v>
      </c>
      <c r="P69" s="6">
        <v>-0.41460000000000002</v>
      </c>
      <c r="Q69" s="6">
        <v>-8.5199999999999998E-2</v>
      </c>
      <c r="R69" s="6">
        <v>-0.14799999999999999</v>
      </c>
      <c r="S69" s="6">
        <v>-0.49409999999999998</v>
      </c>
      <c r="T69" s="6">
        <v>18.602499999999999</v>
      </c>
      <c r="U69" s="6">
        <v>-0.41460000000000002</v>
      </c>
      <c r="V69" s="7">
        <v>26000</v>
      </c>
      <c r="W69" s="6">
        <v>4.6978999999999997</v>
      </c>
      <c r="X69" s="8">
        <f t="shared" si="8"/>
        <v>-4.9413816490650134E-3</v>
      </c>
      <c r="Y69" s="9">
        <f t="shared" si="9"/>
        <v>-3.8164906501381157E-5</v>
      </c>
      <c r="Z69" s="8">
        <f t="shared" si="10"/>
        <v>0.78776281368084489</v>
      </c>
      <c r="AA69" s="8">
        <f t="shared" si="11"/>
        <v>0.10958240480573588</v>
      </c>
    </row>
    <row r="70" spans="1:27" ht="20.100000000000001" customHeight="1">
      <c r="A70" s="3">
        <v>2020</v>
      </c>
      <c r="B70" s="1" t="s">
        <v>52</v>
      </c>
      <c r="C70" s="1" t="s">
        <v>53</v>
      </c>
      <c r="D70" s="6">
        <v>24.1</v>
      </c>
      <c r="E70" s="6">
        <v>18469</v>
      </c>
      <c r="F70" s="6">
        <v>14571</v>
      </c>
      <c r="G70" s="6">
        <v>-1318</v>
      </c>
      <c r="H70" s="6">
        <v>-1.05</v>
      </c>
      <c r="I70" s="6">
        <v>5223</v>
      </c>
      <c r="J70" s="6">
        <v>21253</v>
      </c>
      <c r="K70" s="6">
        <v>-19130</v>
      </c>
      <c r="L70" s="6">
        <v>-7748</v>
      </c>
      <c r="M70" s="6">
        <v>25928</v>
      </c>
      <c r="N70" s="6">
        <v>0.70699999999999996</v>
      </c>
      <c r="O70" s="6">
        <v>1.9227000000000001</v>
      </c>
      <c r="P70" s="6">
        <v>-6.1356000000000002</v>
      </c>
      <c r="Q70" s="6">
        <v>-1.3326</v>
      </c>
      <c r="R70" s="6">
        <v>-2.2275</v>
      </c>
      <c r="S70" s="6">
        <v>-7.1363000000000003</v>
      </c>
      <c r="T70" s="6">
        <v>-18.501300000000001</v>
      </c>
      <c r="U70" s="6">
        <v>-6.1356000000000002</v>
      </c>
      <c r="V70" s="7">
        <v>24000</v>
      </c>
      <c r="W70" s="6">
        <v>1.2336</v>
      </c>
      <c r="X70" s="8">
        <f t="shared" si="8"/>
        <v>-7.1362824191889107E-2</v>
      </c>
      <c r="Y70" s="9">
        <f t="shared" si="9"/>
        <v>1.7580811089601411E-5</v>
      </c>
      <c r="Z70" s="8">
        <f t="shared" si="10"/>
        <v>0.78894363528074074</v>
      </c>
      <c r="AA70" s="8">
        <f t="shared" si="11"/>
        <v>-1.0357897016622448</v>
      </c>
    </row>
    <row r="71" spans="1:27" ht="20.100000000000001" customHeight="1">
      <c r="A71" s="3">
        <v>2019</v>
      </c>
      <c r="B71" s="1" t="s">
        <v>52</v>
      </c>
      <c r="C71" s="1" t="s">
        <v>53</v>
      </c>
      <c r="D71" s="6">
        <v>24.73</v>
      </c>
      <c r="E71" s="6">
        <v>17129</v>
      </c>
      <c r="F71" s="6">
        <v>13300</v>
      </c>
      <c r="G71" s="6">
        <v>-7656</v>
      </c>
      <c r="H71" s="6">
        <v>-14.5</v>
      </c>
      <c r="I71" s="6">
        <v>-6860</v>
      </c>
      <c r="J71" s="6">
        <v>5388</v>
      </c>
      <c r="K71" s="6">
        <v>4816</v>
      </c>
      <c r="L71" s="6">
        <v>-6378</v>
      </c>
      <c r="M71" s="6">
        <v>1464</v>
      </c>
      <c r="N71" s="6">
        <v>1.3321000000000001</v>
      </c>
      <c r="O71" s="6">
        <v>0</v>
      </c>
      <c r="P71" s="6">
        <v>-141.83369999999999</v>
      </c>
      <c r="Q71" s="6">
        <v>-8.9699000000000009</v>
      </c>
      <c r="R71" s="6">
        <v>-141.83369999999999</v>
      </c>
      <c r="S71" s="6">
        <v>-44.696100000000001</v>
      </c>
      <c r="T71" s="6">
        <v>0.57289999999999996</v>
      </c>
      <c r="U71" s="6">
        <v>-141.83369999999999</v>
      </c>
      <c r="V71" s="7">
        <v>23000</v>
      </c>
      <c r="W71" s="6">
        <v>1.8122</v>
      </c>
      <c r="X71" s="8">
        <f t="shared" si="8"/>
        <v>-0.44696129371241755</v>
      </c>
      <c r="Y71" s="9">
        <f t="shared" si="9"/>
        <v>-2.9371241751618982E-5</v>
      </c>
      <c r="Z71" s="8">
        <f t="shared" si="10"/>
        <v>0.77646097261953417</v>
      </c>
      <c r="AA71" s="8">
        <f t="shared" si="11"/>
        <v>0.28116060482223132</v>
      </c>
    </row>
    <row r="72" spans="1:27" ht="20.100000000000001" customHeight="1">
      <c r="A72" s="3">
        <v>2018</v>
      </c>
      <c r="B72" s="1" t="s">
        <v>52</v>
      </c>
      <c r="C72" s="1" t="s">
        <v>53</v>
      </c>
      <c r="D72" s="6">
        <v>5.75</v>
      </c>
      <c r="E72" s="6">
        <v>16759</v>
      </c>
      <c r="F72" s="6">
        <v>12260</v>
      </c>
      <c r="G72" s="6">
        <v>-6851</v>
      </c>
      <c r="H72" s="6">
        <v>-13.25</v>
      </c>
      <c r="I72" s="6">
        <v>-6664</v>
      </c>
      <c r="J72" s="6">
        <v>12903</v>
      </c>
      <c r="K72" s="6">
        <v>4752</v>
      </c>
      <c r="L72" s="6">
        <v>-6564</v>
      </c>
      <c r="M72" s="6">
        <v>3031</v>
      </c>
      <c r="N72" s="6">
        <v>0.2205</v>
      </c>
      <c r="O72" s="6">
        <v>1.7045999999999999</v>
      </c>
      <c r="P72" s="6">
        <v>-52.987699999999997</v>
      </c>
      <c r="Q72" s="6">
        <v>-8.8797999999999995</v>
      </c>
      <c r="R72" s="6">
        <v>-52.987699999999997</v>
      </c>
      <c r="S72" s="6">
        <v>-40.8795</v>
      </c>
      <c r="T72" s="6">
        <v>-4.0631000000000004</v>
      </c>
      <c r="U72" s="6">
        <v>-52.987699999999997</v>
      </c>
      <c r="V72" s="7">
        <v>24000</v>
      </c>
      <c r="W72" s="6">
        <v>2.4426000000000001</v>
      </c>
      <c r="X72" s="8">
        <f t="shared" si="8"/>
        <v>-0.40879527418103706</v>
      </c>
      <c r="Y72" s="9">
        <f t="shared" si="9"/>
        <v>-2.7418103705656449E-5</v>
      </c>
      <c r="Z72" s="8">
        <f t="shared" si="10"/>
        <v>0.73154722835491381</v>
      </c>
      <c r="AA72" s="8">
        <f t="shared" si="11"/>
        <v>0.28354913777671698</v>
      </c>
    </row>
    <row r="73" spans="1:27" ht="20.100000000000001" customHeight="1">
      <c r="A73" s="3">
        <v>2017</v>
      </c>
      <c r="B73" s="1" t="s">
        <v>52</v>
      </c>
      <c r="C73" s="1" t="s">
        <v>53</v>
      </c>
      <c r="D73" s="6">
        <v>12.32</v>
      </c>
      <c r="E73" s="6">
        <v>17135</v>
      </c>
      <c r="F73" s="6">
        <v>12080</v>
      </c>
      <c r="G73" s="6">
        <v>1646</v>
      </c>
      <c r="H73" s="6">
        <v>3.21</v>
      </c>
      <c r="I73" s="6">
        <v>5759</v>
      </c>
      <c r="J73" s="6">
        <v>19472</v>
      </c>
      <c r="K73" s="6">
        <v>5977</v>
      </c>
      <c r="L73" s="6">
        <v>-5650</v>
      </c>
      <c r="M73" s="6">
        <v>-55</v>
      </c>
      <c r="N73" s="6">
        <v>0.88100000000000001</v>
      </c>
      <c r="O73" s="6">
        <v>0.98240000000000005</v>
      </c>
      <c r="P73" s="6">
        <v>8.5251000000000001</v>
      </c>
      <c r="Q73" s="6">
        <v>2.4407000000000001</v>
      </c>
      <c r="R73" s="6">
        <v>4.4593999999999996</v>
      </c>
      <c r="S73" s="6">
        <v>9.6060999999999996</v>
      </c>
      <c r="T73" s="6">
        <v>3.2498</v>
      </c>
      <c r="U73" s="6">
        <v>8.5251000000000001</v>
      </c>
      <c r="V73" s="7">
        <v>23000</v>
      </c>
      <c r="W73" s="6">
        <v>2.1301000000000001</v>
      </c>
      <c r="X73" s="8">
        <f t="shared" si="8"/>
        <v>9.6060694484972273E-2</v>
      </c>
      <c r="Y73" s="9">
        <f t="shared" si="9"/>
        <v>-3.0551502772979688E-5</v>
      </c>
      <c r="Z73" s="8">
        <f t="shared" si="10"/>
        <v>0.70498978698570181</v>
      </c>
      <c r="AA73" s="8">
        <f t="shared" si="11"/>
        <v>0.34881820834549171</v>
      </c>
    </row>
    <row r="74" spans="1:27" ht="20.100000000000001" customHeight="1">
      <c r="A74" s="3">
        <v>2016</v>
      </c>
      <c r="B74" s="1" t="s">
        <v>52</v>
      </c>
      <c r="C74" s="1" t="s">
        <v>53</v>
      </c>
      <c r="D74" s="6">
        <v>23.06</v>
      </c>
      <c r="E74" s="6">
        <v>17666</v>
      </c>
      <c r="F74" s="6">
        <v>12286</v>
      </c>
      <c r="G74" s="6">
        <v>1393</v>
      </c>
      <c r="H74" s="6">
        <v>2.78</v>
      </c>
      <c r="I74" s="6">
        <v>4835</v>
      </c>
      <c r="J74" s="6">
        <v>18192</v>
      </c>
      <c r="K74" s="6">
        <v>4409</v>
      </c>
      <c r="L74" s="6">
        <v>-5753</v>
      </c>
      <c r="M74" s="6">
        <v>1171</v>
      </c>
      <c r="N74" s="6">
        <v>0.81489999999999996</v>
      </c>
      <c r="O74" s="6">
        <v>1.0134000000000001</v>
      </c>
      <c r="P74" s="6">
        <v>7.7342000000000004</v>
      </c>
      <c r="Q74" s="6">
        <v>2.0510999999999999</v>
      </c>
      <c r="R74" s="6">
        <v>4.0887000000000002</v>
      </c>
      <c r="S74" s="6">
        <v>7.8852000000000002</v>
      </c>
      <c r="T74" s="6">
        <v>0.2656</v>
      </c>
      <c r="U74" s="6">
        <v>7.7342000000000004</v>
      </c>
      <c r="V74" s="7">
        <v>24000</v>
      </c>
      <c r="W74" s="6">
        <v>1.2616000000000001</v>
      </c>
      <c r="X74" s="8">
        <f t="shared" si="8"/>
        <v>7.8852032152156679E-2</v>
      </c>
      <c r="Y74" s="9">
        <f t="shared" si="9"/>
        <v>3.2152156679288169E-6</v>
      </c>
      <c r="Z74" s="8">
        <f t="shared" si="10"/>
        <v>0.69546020604551118</v>
      </c>
      <c r="AA74" s="8">
        <f t="shared" si="11"/>
        <v>0.24957545567757275</v>
      </c>
    </row>
    <row r="75" spans="1:27" ht="20.100000000000001" customHeight="1">
      <c r="A75" s="3">
        <v>2015</v>
      </c>
      <c r="B75" s="1" t="s">
        <v>52</v>
      </c>
      <c r="C75" s="1" t="s">
        <v>53</v>
      </c>
      <c r="D75" s="6">
        <v>30.73</v>
      </c>
      <c r="E75" s="6">
        <v>16833</v>
      </c>
      <c r="F75" s="6">
        <v>11071</v>
      </c>
      <c r="G75" s="6">
        <v>874</v>
      </c>
      <c r="H75" s="6">
        <v>1.79</v>
      </c>
      <c r="I75" s="6">
        <v>4120</v>
      </c>
      <c r="J75" s="6">
        <v>16828</v>
      </c>
      <c r="K75" s="6">
        <v>3780</v>
      </c>
      <c r="L75" s="6">
        <v>-5211</v>
      </c>
      <c r="M75" s="6">
        <v>1403</v>
      </c>
      <c r="N75" s="6">
        <v>0.91359999999999997</v>
      </c>
      <c r="O75" s="6">
        <v>1.0164</v>
      </c>
      <c r="P75" s="6">
        <v>5.2769000000000004</v>
      </c>
      <c r="Q75" s="6">
        <v>1.4043000000000001</v>
      </c>
      <c r="R75" s="6">
        <v>2.7111999999999998</v>
      </c>
      <c r="S75" s="6">
        <v>5.1921999999999997</v>
      </c>
      <c r="T75" s="6">
        <v>-0.42849999999999999</v>
      </c>
      <c r="U75" s="6">
        <v>5.2769000000000004</v>
      </c>
      <c r="V75" s="7">
        <v>23000</v>
      </c>
      <c r="W75" s="6">
        <v>0.1186</v>
      </c>
      <c r="X75" s="8">
        <f t="shared" si="8"/>
        <v>5.1921820234064039E-2</v>
      </c>
      <c r="Y75" s="9">
        <f t="shared" si="9"/>
        <v>-1.7976593595925294E-5</v>
      </c>
      <c r="Z75" s="8">
        <f t="shared" si="10"/>
        <v>0.65769619200380203</v>
      </c>
      <c r="AA75" s="8">
        <f t="shared" si="11"/>
        <v>0.22455890215647833</v>
      </c>
    </row>
    <row r="76" spans="1:27" ht="20.100000000000001" customHeight="1">
      <c r="A76" s="3">
        <v>2014</v>
      </c>
      <c r="B76" s="1" t="s">
        <v>52</v>
      </c>
      <c r="C76" s="1" t="s">
        <v>53</v>
      </c>
      <c r="D76" s="6">
        <v>26.09</v>
      </c>
      <c r="E76" s="6">
        <v>17090</v>
      </c>
      <c r="F76" s="6">
        <v>10521</v>
      </c>
      <c r="G76" s="6">
        <v>1436</v>
      </c>
      <c r="H76" s="6">
        <v>3.06</v>
      </c>
      <c r="I76" s="6">
        <v>4883</v>
      </c>
      <c r="J76" s="6">
        <v>16000</v>
      </c>
      <c r="K76" s="6">
        <v>3690</v>
      </c>
      <c r="L76" s="6">
        <v>-4714</v>
      </c>
      <c r="M76" s="6">
        <v>879</v>
      </c>
      <c r="N76" s="6">
        <v>1.0791999999999999</v>
      </c>
      <c r="O76" s="6">
        <v>0.98019999999999996</v>
      </c>
      <c r="P76" s="6">
        <v>9.0625</v>
      </c>
      <c r="Q76" s="6">
        <v>2.4116</v>
      </c>
      <c r="R76" s="6">
        <v>4.6699000000000002</v>
      </c>
      <c r="S76" s="6">
        <v>8.4025999999999996</v>
      </c>
      <c r="T76" s="6">
        <v>1.5681</v>
      </c>
      <c r="U76" s="6">
        <v>9.0625</v>
      </c>
      <c r="V76" s="7">
        <v>22581</v>
      </c>
      <c r="W76" s="6">
        <v>1.6222000000000001</v>
      </c>
      <c r="X76" s="8">
        <f t="shared" si="8"/>
        <v>8.4025746050321828E-2</v>
      </c>
      <c r="Y76" s="9">
        <f t="shared" si="9"/>
        <v>-2.5394967817504721E-5</v>
      </c>
      <c r="Z76" s="8">
        <f t="shared" si="10"/>
        <v>0.61562317144528966</v>
      </c>
      <c r="AA76" s="8">
        <f t="shared" si="11"/>
        <v>0.21591574019894674</v>
      </c>
    </row>
    <row r="77" spans="1:27" ht="20.100000000000001" customHeight="1">
      <c r="A77" s="3">
        <v>2013</v>
      </c>
      <c r="B77" s="1" t="s">
        <v>52</v>
      </c>
      <c r="C77" s="1" t="s">
        <v>53</v>
      </c>
      <c r="D77" s="6">
        <v>25.29</v>
      </c>
      <c r="E77" s="6">
        <v>15598</v>
      </c>
      <c r="F77" s="6">
        <v>9614</v>
      </c>
      <c r="G77" s="6">
        <v>814</v>
      </c>
      <c r="H77" s="6">
        <v>1.83</v>
      </c>
      <c r="I77" s="6">
        <v>3839</v>
      </c>
      <c r="J77" s="6">
        <v>14594</v>
      </c>
      <c r="K77" s="6">
        <v>3427</v>
      </c>
      <c r="L77" s="6">
        <v>-5107</v>
      </c>
      <c r="M77" s="6">
        <v>1575</v>
      </c>
      <c r="N77" s="6">
        <v>0.79769999999999996</v>
      </c>
      <c r="O77" s="6">
        <v>1.0126999999999999</v>
      </c>
      <c r="P77" s="6">
        <v>5.6736000000000004</v>
      </c>
      <c r="Q77" s="6">
        <v>1.4891000000000001</v>
      </c>
      <c r="R77" s="6">
        <v>3.0316999999999998</v>
      </c>
      <c r="S77" s="6">
        <v>5.2186000000000003</v>
      </c>
      <c r="T77" s="6">
        <v>-4.6071</v>
      </c>
      <c r="U77" s="6">
        <v>5.6736000000000004</v>
      </c>
      <c r="V77" s="7">
        <v>21166</v>
      </c>
      <c r="W77" s="6">
        <v>1.4648000000000001</v>
      </c>
      <c r="X77" s="8">
        <f t="shared" si="8"/>
        <v>5.2186177715091681E-2</v>
      </c>
      <c r="Y77" s="9">
        <f t="shared" si="9"/>
        <v>1.7771509167374688E-5</v>
      </c>
      <c r="Z77" s="8">
        <f t="shared" si="10"/>
        <v>0.61636107193229905</v>
      </c>
      <c r="AA77" s="8">
        <f t="shared" si="11"/>
        <v>0.21970765482754198</v>
      </c>
    </row>
    <row r="78" spans="1:27" ht="20.100000000000001" customHeight="1">
      <c r="A78" s="3">
        <v>2012</v>
      </c>
      <c r="B78" s="1" t="s">
        <v>52</v>
      </c>
      <c r="C78" s="1" t="s">
        <v>53</v>
      </c>
      <c r="D78" s="6">
        <v>18.100000000000001</v>
      </c>
      <c r="E78" s="6">
        <v>15040</v>
      </c>
      <c r="F78" s="6">
        <v>10017</v>
      </c>
      <c r="G78" s="6">
        <v>816</v>
      </c>
      <c r="H78" s="6">
        <v>1.92</v>
      </c>
      <c r="I78" s="6">
        <v>3965</v>
      </c>
      <c r="J78" s="6">
        <v>13326</v>
      </c>
      <c r="K78" s="6">
        <v>4882</v>
      </c>
      <c r="L78" s="6">
        <v>-4526</v>
      </c>
      <c r="M78" s="6">
        <v>-468</v>
      </c>
      <c r="N78" s="6">
        <v>0.81859999999999999</v>
      </c>
      <c r="O78" s="6">
        <v>1.0062</v>
      </c>
      <c r="P78" s="6">
        <v>6.2283999999999997</v>
      </c>
      <c r="Q78" s="6">
        <v>1.5825</v>
      </c>
      <c r="R78" s="6">
        <v>3.2117</v>
      </c>
      <c r="S78" s="6">
        <v>5.4255000000000004</v>
      </c>
      <c r="T78" s="6">
        <v>1.3509</v>
      </c>
      <c r="U78" s="6">
        <v>6.2283999999999997</v>
      </c>
      <c r="V78" s="7">
        <v>20593</v>
      </c>
      <c r="W78" s="6">
        <v>2.0693000000000001</v>
      </c>
      <c r="X78" s="8">
        <f t="shared" si="8"/>
        <v>5.4255319148936172E-2</v>
      </c>
      <c r="Y78" s="9">
        <f t="shared" si="9"/>
        <v>3.1914893616757922E-5</v>
      </c>
      <c r="Z78" s="8">
        <f t="shared" si="10"/>
        <v>0.66602393617021272</v>
      </c>
      <c r="AA78" s="8">
        <f t="shared" si="11"/>
        <v>0.32460106382978721</v>
      </c>
    </row>
    <row r="79" spans="1:27" ht="20.100000000000001" customHeight="1">
      <c r="A79" s="3">
        <v>2011</v>
      </c>
      <c r="B79" s="1" t="s">
        <v>52</v>
      </c>
      <c r="C79" s="1" t="s">
        <v>53</v>
      </c>
      <c r="D79" s="6">
        <v>17.14</v>
      </c>
      <c r="E79" s="6">
        <v>14956</v>
      </c>
      <c r="F79" s="6">
        <v>9623</v>
      </c>
      <c r="G79" s="6">
        <v>844</v>
      </c>
      <c r="H79" s="6">
        <v>2.1</v>
      </c>
      <c r="I79" s="6">
        <v>4157</v>
      </c>
      <c r="J79" s="6">
        <v>12353</v>
      </c>
      <c r="K79" s="6">
        <v>3739</v>
      </c>
      <c r="L79" s="6">
        <v>-3986</v>
      </c>
      <c r="M79" s="6">
        <v>469</v>
      </c>
      <c r="N79" s="6">
        <v>0.83620000000000005</v>
      </c>
      <c r="O79" s="6">
        <v>1.1241000000000001</v>
      </c>
      <c r="P79" s="6">
        <v>6.9457000000000004</v>
      </c>
      <c r="Q79" s="6">
        <v>1.7245999999999999</v>
      </c>
      <c r="R79" s="6">
        <v>3.5573999999999999</v>
      </c>
      <c r="S79" s="6">
        <v>5.6432000000000002</v>
      </c>
      <c r="T79" s="6">
        <v>0.77659999999999996</v>
      </c>
      <c r="U79" s="6">
        <v>6.9457000000000004</v>
      </c>
      <c r="V79" s="7">
        <v>19274</v>
      </c>
      <c r="W79" s="6">
        <v>3.1568000000000001</v>
      </c>
      <c r="X79" s="8">
        <f t="shared" si="8"/>
        <v>5.6432201123295E-2</v>
      </c>
      <c r="Y79" s="9">
        <f t="shared" si="9"/>
        <v>2.0112329499610837E-5</v>
      </c>
      <c r="Z79" s="8">
        <f t="shared" si="10"/>
        <v>0.64342070072211821</v>
      </c>
      <c r="AA79" s="8">
        <f t="shared" si="11"/>
        <v>0.25</v>
      </c>
    </row>
    <row r="80" spans="1:27" ht="20.100000000000001" customHeight="1">
      <c r="A80" s="3">
        <v>2010</v>
      </c>
      <c r="B80" s="1" t="s">
        <v>52</v>
      </c>
      <c r="C80" s="1" t="s">
        <v>53</v>
      </c>
      <c r="D80" s="6">
        <v>16.73</v>
      </c>
      <c r="E80" s="6">
        <v>13841</v>
      </c>
      <c r="F80" s="6">
        <v>8652</v>
      </c>
      <c r="G80" s="6">
        <v>1099</v>
      </c>
      <c r="H80" s="6">
        <v>2.82</v>
      </c>
      <c r="I80" s="6">
        <v>4213</v>
      </c>
      <c r="J80" s="6">
        <v>11534</v>
      </c>
      <c r="K80" s="6">
        <v>3206</v>
      </c>
      <c r="L80" s="6">
        <v>-3857</v>
      </c>
      <c r="M80" s="6">
        <v>415</v>
      </c>
      <c r="N80" s="6">
        <v>0.77129999999999999</v>
      </c>
      <c r="O80" s="6">
        <v>1.1613</v>
      </c>
      <c r="P80" s="6">
        <v>9.6496999999999993</v>
      </c>
      <c r="Q80" s="6">
        <v>2.4182999999999999</v>
      </c>
      <c r="R80" s="6">
        <v>4.8681000000000001</v>
      </c>
      <c r="S80" s="6">
        <v>7.9401999999999999</v>
      </c>
      <c r="T80" s="6">
        <v>0.86040000000000005</v>
      </c>
      <c r="U80" s="6">
        <v>9.6496999999999993</v>
      </c>
      <c r="V80" s="7">
        <v>19424</v>
      </c>
      <c r="W80" s="6">
        <v>1.64</v>
      </c>
      <c r="X80" s="8">
        <f t="shared" si="8"/>
        <v>7.9401777328227729E-2</v>
      </c>
      <c r="Y80" s="9">
        <f t="shared" si="9"/>
        <v>-2.2267177226531487E-5</v>
      </c>
      <c r="Z80" s="8">
        <f t="shared" si="10"/>
        <v>0.62509934253305399</v>
      </c>
      <c r="AA80" s="8">
        <f t="shared" si="11"/>
        <v>0.23163066252438408</v>
      </c>
    </row>
    <row r="81" spans="1:27" ht="20.100000000000001" customHeight="1">
      <c r="A81" s="3">
        <v>2009</v>
      </c>
      <c r="B81" s="1" t="s">
        <v>52</v>
      </c>
      <c r="C81" s="1" t="s">
        <v>53</v>
      </c>
      <c r="D81" s="6">
        <v>18.760000000000002</v>
      </c>
      <c r="E81" s="6">
        <v>13399</v>
      </c>
      <c r="F81" s="6">
        <v>8397</v>
      </c>
      <c r="G81" s="6">
        <v>1220</v>
      </c>
      <c r="H81" s="6">
        <v>3.2</v>
      </c>
      <c r="I81" s="6">
        <v>4051</v>
      </c>
      <c r="J81" s="6">
        <v>10585</v>
      </c>
      <c r="K81" s="6">
        <v>3039</v>
      </c>
      <c r="L81" s="6">
        <v>-3336</v>
      </c>
      <c r="M81" s="6">
        <v>605</v>
      </c>
      <c r="N81" s="6">
        <v>0.83030000000000004</v>
      </c>
      <c r="O81" s="6">
        <v>1.2062999999999999</v>
      </c>
      <c r="P81" s="6">
        <v>11.657999999999999</v>
      </c>
      <c r="Q81" s="6">
        <v>2.8734000000000002</v>
      </c>
      <c r="R81" s="6">
        <v>5.6623999999999999</v>
      </c>
      <c r="S81" s="6">
        <v>9.1052</v>
      </c>
      <c r="T81" s="6">
        <v>-2.3807999999999998</v>
      </c>
      <c r="U81" s="6">
        <v>11.657999999999999</v>
      </c>
      <c r="V81" s="7">
        <v>19425</v>
      </c>
      <c r="W81" s="6">
        <v>-0.35549999999999998</v>
      </c>
      <c r="X81" s="8">
        <f t="shared" si="8"/>
        <v>9.105157101276215E-2</v>
      </c>
      <c r="Y81" s="9">
        <f t="shared" si="9"/>
        <v>-4.2898723785711468E-5</v>
      </c>
      <c r="Z81" s="8">
        <f t="shared" si="10"/>
        <v>0.62668855884767516</v>
      </c>
      <c r="AA81" s="8">
        <f t="shared" si="11"/>
        <v>0.22680797074408537</v>
      </c>
    </row>
    <row r="82" spans="1:27" ht="20.100000000000001" customHeight="1">
      <c r="A82" s="3">
        <v>2018</v>
      </c>
      <c r="B82" s="1" t="s">
        <v>54</v>
      </c>
      <c r="C82" s="1" t="s">
        <v>55</v>
      </c>
      <c r="D82" s="6">
        <v>0.04</v>
      </c>
      <c r="E82" s="6">
        <v>16702</v>
      </c>
      <c r="F82" s="6">
        <v>3527</v>
      </c>
      <c r="G82" s="6">
        <v>-383</v>
      </c>
      <c r="H82" s="6">
        <v>-3.57</v>
      </c>
      <c r="I82" s="6">
        <v>-52</v>
      </c>
      <c r="J82" s="6">
        <v>-3723</v>
      </c>
      <c r="K82" s="6">
        <v>-1842</v>
      </c>
      <c r="L82" s="6">
        <v>1894</v>
      </c>
      <c r="M82" s="6">
        <v>-2</v>
      </c>
      <c r="N82" s="6">
        <v>0.77559999999999996</v>
      </c>
      <c r="O82" s="6">
        <v>-1.1099000000000001</v>
      </c>
      <c r="P82" s="6">
        <v>10.2874</v>
      </c>
      <c r="Q82" s="6">
        <v>-5.274</v>
      </c>
      <c r="R82" s="6">
        <v>25.983699999999999</v>
      </c>
      <c r="S82" s="6">
        <v>-2.2930999999999999</v>
      </c>
      <c r="T82" s="6">
        <v>3.0663</v>
      </c>
      <c r="U82" s="6">
        <v>7.4225000000000003</v>
      </c>
      <c r="V82" s="7">
        <v>89900</v>
      </c>
      <c r="W82" s="6">
        <v>2.4426000000000001</v>
      </c>
      <c r="X82" s="8">
        <f t="shared" si="8"/>
        <v>-2.2931385462818824E-2</v>
      </c>
      <c r="Y82" s="9">
        <f t="shared" si="9"/>
        <v>-3.8546281882378963E-5</v>
      </c>
      <c r="Z82" s="8">
        <f t="shared" si="10"/>
        <v>0.21117231469285117</v>
      </c>
      <c r="AA82" s="8">
        <f t="shared" si="11"/>
        <v>-0.11028619327026704</v>
      </c>
    </row>
    <row r="83" spans="1:27" ht="20.100000000000001" customHeight="1">
      <c r="A83" s="3">
        <v>2017</v>
      </c>
      <c r="B83" s="1" t="s">
        <v>54</v>
      </c>
      <c r="C83" s="1" t="s">
        <v>55</v>
      </c>
      <c r="D83" s="6">
        <v>0.37</v>
      </c>
      <c r="E83" s="6">
        <v>22138</v>
      </c>
      <c r="F83" s="6">
        <v>4686</v>
      </c>
      <c r="G83" s="6">
        <v>-2221</v>
      </c>
      <c r="H83" s="6">
        <v>-20.78</v>
      </c>
      <c r="I83" s="6">
        <v>-1610</v>
      </c>
      <c r="J83" s="6">
        <v>-3824</v>
      </c>
      <c r="K83" s="6">
        <v>-1381</v>
      </c>
      <c r="L83" s="6">
        <v>244</v>
      </c>
      <c r="M83" s="6">
        <v>1185</v>
      </c>
      <c r="N83" s="6">
        <v>1.0672999999999999</v>
      </c>
      <c r="O83" s="6">
        <v>-1.0887</v>
      </c>
      <c r="P83" s="6">
        <v>58.080500000000001</v>
      </c>
      <c r="Q83" s="6">
        <v>-23.723600000000001</v>
      </c>
      <c r="R83" s="6">
        <v>884.8605</v>
      </c>
      <c r="S83" s="6">
        <v>-10.032500000000001</v>
      </c>
      <c r="T83" s="6">
        <v>-13.9382</v>
      </c>
      <c r="U83" s="6">
        <v>39.561799999999998</v>
      </c>
      <c r="V83" s="7">
        <v>140000</v>
      </c>
      <c r="W83" s="6">
        <v>2.1301000000000001</v>
      </c>
      <c r="X83" s="8">
        <f t="shared" si="8"/>
        <v>-0.10032523263167405</v>
      </c>
      <c r="Y83" s="9">
        <f t="shared" si="9"/>
        <v>-2.3263167404863339E-5</v>
      </c>
      <c r="Z83" s="8">
        <f t="shared" si="10"/>
        <v>0.21167223778119071</v>
      </c>
      <c r="AA83" s="8">
        <f t="shared" si="11"/>
        <v>-6.2381425603035508E-2</v>
      </c>
    </row>
    <row r="84" spans="1:27" ht="20.100000000000001" customHeight="1">
      <c r="A84" s="3">
        <v>2016</v>
      </c>
      <c r="B84" s="1" t="s">
        <v>54</v>
      </c>
      <c r="C84" s="1" t="s">
        <v>55</v>
      </c>
      <c r="D84" s="6">
        <v>1.1100000000000001</v>
      </c>
      <c r="E84" s="6">
        <v>25146</v>
      </c>
      <c r="F84" s="6">
        <v>5810</v>
      </c>
      <c r="G84" s="6">
        <v>-1129</v>
      </c>
      <c r="H84" s="6">
        <v>-10.59</v>
      </c>
      <c r="I84" s="6">
        <v>-570</v>
      </c>
      <c r="J84" s="6">
        <v>-1956</v>
      </c>
      <c r="K84" s="6">
        <v>-2167</v>
      </c>
      <c r="L84" s="6">
        <v>2519</v>
      </c>
      <c r="M84" s="6">
        <v>-364</v>
      </c>
      <c r="N84" s="6">
        <v>1.1115999999999999</v>
      </c>
      <c r="O84" s="6">
        <v>-1.5215000000000001</v>
      </c>
      <c r="P84" s="6">
        <v>57.668700000000001</v>
      </c>
      <c r="Q84" s="6">
        <v>-9.9497</v>
      </c>
      <c r="R84" s="6">
        <v>-742.10519999999997</v>
      </c>
      <c r="S84" s="6">
        <v>-4.4897999999999998</v>
      </c>
      <c r="T84" s="6">
        <v>14.901400000000001</v>
      </c>
      <c r="U84" s="6">
        <v>27.285900000000002</v>
      </c>
      <c r="V84" s="7">
        <v>178000</v>
      </c>
      <c r="W84" s="6">
        <v>1.2616000000000001</v>
      </c>
      <c r="X84" s="8">
        <f t="shared" si="8"/>
        <v>-4.4897796866300806E-2</v>
      </c>
      <c r="Y84" s="9">
        <f t="shared" si="9"/>
        <v>2.0313369919477964E-5</v>
      </c>
      <c r="Z84" s="8">
        <f t="shared" si="10"/>
        <v>0.23105066412153027</v>
      </c>
      <c r="AA84" s="8">
        <f t="shared" si="11"/>
        <v>-8.6176727909011375E-2</v>
      </c>
    </row>
    <row r="85" spans="1:27" ht="20.100000000000001" customHeight="1">
      <c r="A85" s="3">
        <v>2015</v>
      </c>
      <c r="B85" s="1" t="s">
        <v>54</v>
      </c>
      <c r="C85" s="1" t="s">
        <v>55</v>
      </c>
      <c r="D85" s="6">
        <v>2.19</v>
      </c>
      <c r="E85" s="6">
        <v>31198</v>
      </c>
      <c r="F85" s="6">
        <v>7149</v>
      </c>
      <c r="G85" s="6">
        <v>-1682</v>
      </c>
      <c r="H85" s="6">
        <v>-15.82</v>
      </c>
      <c r="I85" s="6">
        <v>-889</v>
      </c>
      <c r="J85" s="6">
        <v>-945</v>
      </c>
      <c r="K85" s="6">
        <v>-1387</v>
      </c>
      <c r="L85" s="6">
        <v>327</v>
      </c>
      <c r="M85" s="6">
        <v>285</v>
      </c>
      <c r="N85" s="6">
        <v>1.0479000000000001</v>
      </c>
      <c r="O85" s="6">
        <v>-3.9958</v>
      </c>
      <c r="P85" s="6">
        <v>191.53440000000001</v>
      </c>
      <c r="Q85" s="6">
        <v>-13.7277</v>
      </c>
      <c r="R85" s="6">
        <v>-84.500500000000002</v>
      </c>
      <c r="S85" s="6">
        <v>-5.3914</v>
      </c>
      <c r="T85" s="6">
        <v>-7.4240000000000004</v>
      </c>
      <c r="U85" s="6">
        <v>54.6663</v>
      </c>
      <c r="V85" s="7">
        <v>196000</v>
      </c>
      <c r="W85" s="6">
        <v>0.1186</v>
      </c>
      <c r="X85" s="8">
        <f t="shared" si="8"/>
        <v>-5.3913712417462657E-2</v>
      </c>
      <c r="Y85" s="9">
        <f t="shared" si="9"/>
        <v>2.8758253733940364E-5</v>
      </c>
      <c r="Z85" s="8">
        <f t="shared" si="10"/>
        <v>0.22914930444259246</v>
      </c>
      <c r="AA85" s="8">
        <f t="shared" si="11"/>
        <v>-4.4457978075517664E-2</v>
      </c>
    </row>
    <row r="86" spans="1:27" ht="20.100000000000001" customHeight="1">
      <c r="A86" s="3">
        <v>2014</v>
      </c>
      <c r="B86" s="1" t="s">
        <v>54</v>
      </c>
      <c r="C86" s="1" t="s">
        <v>55</v>
      </c>
      <c r="D86" s="6">
        <v>3.51</v>
      </c>
      <c r="E86" s="6">
        <v>36188</v>
      </c>
      <c r="F86" s="6">
        <v>8755</v>
      </c>
      <c r="G86" s="6">
        <v>-1365</v>
      </c>
      <c r="H86" s="6">
        <v>-12.87</v>
      </c>
      <c r="I86" s="6">
        <v>-195</v>
      </c>
      <c r="J86" s="6">
        <v>2183</v>
      </c>
      <c r="K86" s="6">
        <v>-1109</v>
      </c>
      <c r="L86" s="6">
        <v>664</v>
      </c>
      <c r="M86" s="6">
        <v>902</v>
      </c>
      <c r="N86" s="6">
        <v>1.0946</v>
      </c>
      <c r="O86" s="6">
        <v>1.9463999999999999</v>
      </c>
      <c r="P86" s="6">
        <v>-51.122300000000003</v>
      </c>
      <c r="Q86" s="6">
        <v>-6.1113999999999997</v>
      </c>
      <c r="R86" s="6">
        <v>-22.244399999999999</v>
      </c>
      <c r="S86" s="6">
        <v>-3.7719999999999998</v>
      </c>
      <c r="T86" s="6">
        <v>-2.7683</v>
      </c>
      <c r="U86" s="6">
        <v>106.6922</v>
      </c>
      <c r="V86" s="7">
        <v>226000</v>
      </c>
      <c r="W86" s="6">
        <v>1.6222000000000001</v>
      </c>
      <c r="X86" s="8">
        <f t="shared" si="8"/>
        <v>-3.7719686083784683E-2</v>
      </c>
      <c r="Y86" s="9">
        <f t="shared" si="9"/>
        <v>3.1391621531540181E-5</v>
      </c>
      <c r="Z86" s="8">
        <f t="shared" si="10"/>
        <v>0.2419310268597325</v>
      </c>
      <c r="AA86" s="8">
        <f t="shared" si="11"/>
        <v>-3.06455178512214E-2</v>
      </c>
    </row>
    <row r="87" spans="1:27" ht="20.100000000000001" customHeight="1">
      <c r="A87" s="3">
        <v>2013</v>
      </c>
      <c r="B87" s="1" t="s">
        <v>54</v>
      </c>
      <c r="C87" s="1" t="s">
        <v>55</v>
      </c>
      <c r="D87" s="6">
        <v>4.9000000000000004</v>
      </c>
      <c r="E87" s="6">
        <v>39854</v>
      </c>
      <c r="F87" s="6">
        <v>10514</v>
      </c>
      <c r="G87" s="6">
        <v>-930</v>
      </c>
      <c r="H87" s="6">
        <v>-8.7799999999999994</v>
      </c>
      <c r="I87" s="6">
        <v>-8</v>
      </c>
      <c r="J87" s="6">
        <v>3172</v>
      </c>
      <c r="K87" s="6">
        <v>-303</v>
      </c>
      <c r="L87" s="6">
        <v>191</v>
      </c>
      <c r="M87" s="6">
        <v>-27</v>
      </c>
      <c r="N87" s="6">
        <v>1.1011</v>
      </c>
      <c r="O87" s="6">
        <v>0.98360000000000003</v>
      </c>
      <c r="P87" s="6">
        <v>-33.228299999999997</v>
      </c>
      <c r="Q87" s="6">
        <v>-5.4497999999999998</v>
      </c>
      <c r="R87" s="6">
        <v>-20.606100000000001</v>
      </c>
      <c r="S87" s="6">
        <v>-2.3334999999999999</v>
      </c>
      <c r="T87" s="6">
        <v>4.5387000000000004</v>
      </c>
      <c r="U87" s="6">
        <v>1197.7270000000001</v>
      </c>
      <c r="V87" s="7">
        <v>246000</v>
      </c>
      <c r="W87" s="6">
        <v>1.4648000000000001</v>
      </c>
      <c r="X87" s="8">
        <f t="shared" si="8"/>
        <v>-2.3335173382847393E-2</v>
      </c>
      <c r="Y87" s="9">
        <f t="shared" si="9"/>
        <v>-1.7338284739487619E-5</v>
      </c>
      <c r="Z87" s="8">
        <f t="shared" si="10"/>
        <v>0.2638129171475887</v>
      </c>
      <c r="AA87" s="8">
        <f t="shared" si="11"/>
        <v>-7.6027500376373769E-3</v>
      </c>
    </row>
    <row r="88" spans="1:27" ht="20.100000000000001" customHeight="1">
      <c r="A88" s="3">
        <v>2012</v>
      </c>
      <c r="B88" s="1" t="s">
        <v>54</v>
      </c>
      <c r="C88" s="1" t="s">
        <v>55</v>
      </c>
      <c r="D88" s="6">
        <v>4.47</v>
      </c>
      <c r="E88" s="6">
        <v>41567</v>
      </c>
      <c r="F88" s="6">
        <v>10601</v>
      </c>
      <c r="G88" s="6">
        <v>-3140</v>
      </c>
      <c r="H88" s="6">
        <v>-29.4</v>
      </c>
      <c r="I88" s="6">
        <v>-648</v>
      </c>
      <c r="J88" s="6">
        <v>4341</v>
      </c>
      <c r="K88" s="6">
        <v>-275</v>
      </c>
      <c r="L88" s="6">
        <v>-309</v>
      </c>
      <c r="M88" s="6">
        <v>-28</v>
      </c>
      <c r="N88" s="6">
        <v>1.1120000000000001</v>
      </c>
      <c r="O88" s="6">
        <v>0.80469999999999997</v>
      </c>
      <c r="P88" s="6">
        <v>-71.872799999999998</v>
      </c>
      <c r="Q88" s="6">
        <v>-14.5924</v>
      </c>
      <c r="R88" s="6">
        <v>-48.530099999999997</v>
      </c>
      <c r="S88" s="6">
        <v>-7.5541</v>
      </c>
      <c r="T88" s="6">
        <v>-3.5464000000000002</v>
      </c>
      <c r="U88" s="6">
        <v>-554.17409999999995</v>
      </c>
      <c r="V88" s="7">
        <v>264000</v>
      </c>
      <c r="W88" s="6">
        <v>2.0693000000000001</v>
      </c>
      <c r="X88" s="8">
        <f t="shared" si="8"/>
        <v>-7.5540693338465609E-2</v>
      </c>
      <c r="Y88" s="9">
        <f t="shared" si="9"/>
        <v>3.0666153438829724E-5</v>
      </c>
      <c r="Z88" s="8">
        <f t="shared" si="10"/>
        <v>0.25503404142709363</v>
      </c>
      <c r="AA88" s="8">
        <f t="shared" si="11"/>
        <v>-6.6158250535280393E-3</v>
      </c>
    </row>
    <row r="89" spans="1:27" ht="20.100000000000001" customHeight="1">
      <c r="A89" s="3">
        <v>2011</v>
      </c>
      <c r="B89" s="1" t="s">
        <v>54</v>
      </c>
      <c r="C89" s="1" t="s">
        <v>55</v>
      </c>
      <c r="D89" s="6">
        <v>3.39</v>
      </c>
      <c r="E89" s="6">
        <v>42664</v>
      </c>
      <c r="F89" s="6">
        <v>11664</v>
      </c>
      <c r="G89" s="6">
        <v>133</v>
      </c>
      <c r="H89" s="6">
        <v>1.19</v>
      </c>
      <c r="I89" s="6">
        <v>1306</v>
      </c>
      <c r="J89" s="6">
        <v>8614</v>
      </c>
      <c r="K89" s="6">
        <v>123</v>
      </c>
      <c r="L89" s="6">
        <v>-406</v>
      </c>
      <c r="M89" s="6">
        <v>-95</v>
      </c>
      <c r="N89" s="6">
        <v>1.3374999999999999</v>
      </c>
      <c r="O89" s="6">
        <v>0.37069999999999997</v>
      </c>
      <c r="P89" s="6">
        <v>1.6136999999999999</v>
      </c>
      <c r="Q89" s="6">
        <v>0.5706</v>
      </c>
      <c r="R89" s="6">
        <v>1.2685</v>
      </c>
      <c r="S89" s="6">
        <v>0.31169999999999998</v>
      </c>
      <c r="T89" s="6">
        <v>-12.4078</v>
      </c>
      <c r="U89" s="6">
        <v>3.2867999999999999</v>
      </c>
      <c r="V89" s="7">
        <v>280000</v>
      </c>
      <c r="W89" s="6">
        <v>3.1568000000000001</v>
      </c>
      <c r="X89" s="8">
        <f t="shared" si="8"/>
        <v>3.1173823363960249E-3</v>
      </c>
      <c r="Y89" s="9">
        <f t="shared" si="9"/>
        <v>3.8233639602536229E-5</v>
      </c>
      <c r="Z89" s="8">
        <f t="shared" si="10"/>
        <v>0.27339208700543782</v>
      </c>
      <c r="AA89" s="8">
        <f t="shared" si="11"/>
        <v>2.8829926870429404E-3</v>
      </c>
    </row>
    <row r="90" spans="1:27" ht="20.100000000000001" customHeight="1">
      <c r="A90" s="3">
        <v>2010</v>
      </c>
      <c r="B90" s="1" t="s">
        <v>54</v>
      </c>
      <c r="C90" s="1" t="s">
        <v>55</v>
      </c>
      <c r="D90" s="6">
        <v>8.2200000000000006</v>
      </c>
      <c r="E90" s="6">
        <v>43360</v>
      </c>
      <c r="F90" s="6">
        <v>11986</v>
      </c>
      <c r="G90" s="6">
        <v>235</v>
      </c>
      <c r="H90" s="6">
        <v>1.99</v>
      </c>
      <c r="I90" s="6">
        <v>1561</v>
      </c>
      <c r="J90" s="6">
        <v>9435</v>
      </c>
      <c r="K90" s="6">
        <v>1507</v>
      </c>
      <c r="L90" s="6">
        <v>-172</v>
      </c>
      <c r="M90" s="6">
        <v>-951</v>
      </c>
      <c r="N90" s="6">
        <v>1.3018000000000001</v>
      </c>
      <c r="O90" s="6">
        <v>0.26550000000000001</v>
      </c>
      <c r="P90" s="6">
        <v>2.9676999999999998</v>
      </c>
      <c r="Q90" s="6">
        <v>1.1287</v>
      </c>
      <c r="R90" s="6">
        <v>2.5150000000000001</v>
      </c>
      <c r="S90" s="6">
        <v>0.54200000000000004</v>
      </c>
      <c r="T90" s="6">
        <v>5.4337</v>
      </c>
      <c r="U90" s="6">
        <v>5.7911000000000001</v>
      </c>
      <c r="V90" s="7">
        <v>290000</v>
      </c>
      <c r="W90" s="6">
        <v>1.64</v>
      </c>
      <c r="X90" s="8">
        <f t="shared" si="8"/>
        <v>5.4197416974169745E-3</v>
      </c>
      <c r="Y90" s="9">
        <f t="shared" si="9"/>
        <v>-2.5830258302605991E-5</v>
      </c>
      <c r="Z90" s="8">
        <f t="shared" si="10"/>
        <v>0.27642988929889301</v>
      </c>
      <c r="AA90" s="8">
        <f t="shared" si="11"/>
        <v>3.4755535055350555E-2</v>
      </c>
    </row>
    <row r="91" spans="1:27" ht="20.100000000000001" customHeight="1">
      <c r="A91" s="3">
        <v>2009</v>
      </c>
      <c r="B91" s="1" t="s">
        <v>54</v>
      </c>
      <c r="C91" s="1" t="s">
        <v>55</v>
      </c>
      <c r="D91" s="6">
        <v>8.98</v>
      </c>
      <c r="E91" s="6">
        <v>46770</v>
      </c>
      <c r="F91" s="6">
        <v>12652</v>
      </c>
      <c r="G91" s="6">
        <v>53</v>
      </c>
      <c r="H91" s="6">
        <v>0.42</v>
      </c>
      <c r="I91" s="6">
        <v>1283</v>
      </c>
      <c r="J91" s="6">
        <v>9699</v>
      </c>
      <c r="K91" s="6">
        <v>992</v>
      </c>
      <c r="L91" s="6">
        <v>-637</v>
      </c>
      <c r="M91" s="6">
        <v>-643</v>
      </c>
      <c r="N91" s="6">
        <v>1.3411999999999999</v>
      </c>
      <c r="O91" s="6">
        <v>0.30099999999999999</v>
      </c>
      <c r="P91" s="6">
        <v>1.0206999999999999</v>
      </c>
      <c r="Q91" s="6">
        <v>0.39069999999999999</v>
      </c>
      <c r="R91" s="6">
        <v>0.83679999999999999</v>
      </c>
      <c r="S91" s="6">
        <v>0.1133</v>
      </c>
      <c r="T91" s="6">
        <v>4.5747999999999998</v>
      </c>
      <c r="U91" s="6">
        <v>1.9704999999999999</v>
      </c>
      <c r="V91" s="7">
        <v>291000</v>
      </c>
      <c r="W91" s="6">
        <v>-0.35549999999999998</v>
      </c>
      <c r="X91" s="8">
        <f t="shared" si="8"/>
        <v>1.1332050459696387E-3</v>
      </c>
      <c r="Y91" s="9">
        <f t="shared" si="9"/>
        <v>2.0504596963871746E-5</v>
      </c>
      <c r="Z91" s="8">
        <f t="shared" si="10"/>
        <v>0.27051528757750692</v>
      </c>
      <c r="AA91" s="8">
        <f t="shared" si="11"/>
        <v>2.1210177464186443E-2</v>
      </c>
    </row>
    <row r="92" spans="1:27" ht="20.100000000000001" customHeight="1">
      <c r="A92" s="3">
        <v>2022</v>
      </c>
      <c r="B92" s="1" t="s">
        <v>56</v>
      </c>
      <c r="C92" s="1" t="s">
        <v>57</v>
      </c>
      <c r="D92" s="6">
        <v>186.39</v>
      </c>
      <c r="E92" s="6">
        <v>23182.6</v>
      </c>
      <c r="F92" s="6">
        <v>13207.2</v>
      </c>
      <c r="G92" s="6">
        <v>6177.4</v>
      </c>
      <c r="H92" s="6">
        <v>8.33</v>
      </c>
      <c r="I92" s="6">
        <v>11241.6</v>
      </c>
      <c r="J92" s="6">
        <v>-6003.4</v>
      </c>
      <c r="K92" s="6">
        <v>7386.7</v>
      </c>
      <c r="L92" s="6">
        <v>-2678.1</v>
      </c>
      <c r="M92" s="6">
        <v>-6580.2</v>
      </c>
      <c r="N92" s="6">
        <v>1.4266000000000001</v>
      </c>
      <c r="O92" s="6">
        <v>-5.9805000000000001</v>
      </c>
      <c r="P92" s="6">
        <v>-102.89830000000001</v>
      </c>
      <c r="Q92" s="6">
        <v>12.248100000000001</v>
      </c>
      <c r="R92" s="6">
        <v>20.6601</v>
      </c>
      <c r="S92" s="6">
        <v>26.646699999999999</v>
      </c>
      <c r="T92" s="6">
        <v>-2.1322999999999999</v>
      </c>
      <c r="U92" s="6">
        <v>-69.379400000000004</v>
      </c>
      <c r="V92" s="7">
        <v>150000</v>
      </c>
      <c r="W92" s="6">
        <v>8.0028000000000006</v>
      </c>
      <c r="X92" s="8">
        <f t="shared" si="8"/>
        <v>0.26646709169808391</v>
      </c>
      <c r="Y92" s="9">
        <f t="shared" si="9"/>
        <v>9.1698083934943497E-6</v>
      </c>
      <c r="Z92" s="8">
        <f t="shared" si="10"/>
        <v>0.56970313942353323</v>
      </c>
      <c r="AA92" s="8">
        <f t="shared" si="11"/>
        <v>0.31863121479040318</v>
      </c>
    </row>
    <row r="93" spans="1:27" ht="20.100000000000001" customHeight="1">
      <c r="A93" s="3">
        <v>2021</v>
      </c>
      <c r="B93" s="1" t="s">
        <v>56</v>
      </c>
      <c r="C93" s="1" t="s">
        <v>57</v>
      </c>
      <c r="D93" s="6">
        <v>193.02</v>
      </c>
      <c r="E93" s="6">
        <v>23222.9</v>
      </c>
      <c r="F93" s="6">
        <v>12580.2</v>
      </c>
      <c r="G93" s="6">
        <v>7545.2</v>
      </c>
      <c r="H93" s="6">
        <v>10.039999999999999</v>
      </c>
      <c r="I93" s="6">
        <v>12224.1</v>
      </c>
      <c r="J93" s="6">
        <v>-4601</v>
      </c>
      <c r="K93" s="6">
        <v>9141.5</v>
      </c>
      <c r="L93" s="6">
        <v>-2165.6999999999998</v>
      </c>
      <c r="M93" s="6">
        <v>-5595.6</v>
      </c>
      <c r="N93" s="6">
        <v>1.7782</v>
      </c>
      <c r="O93" s="6">
        <v>-7.7423999999999999</v>
      </c>
      <c r="P93" s="6">
        <v>-163.99029999999999</v>
      </c>
      <c r="Q93" s="6">
        <v>14.010400000000001</v>
      </c>
      <c r="R93" s="6">
        <v>24.322299999999998</v>
      </c>
      <c r="S93" s="6">
        <v>32.490299999999998</v>
      </c>
      <c r="T93" s="6">
        <v>3.3856999999999999</v>
      </c>
      <c r="U93" s="6">
        <v>-102.19</v>
      </c>
      <c r="V93" s="7">
        <v>200000</v>
      </c>
      <c r="W93" s="6">
        <v>4.6978999999999997</v>
      </c>
      <c r="X93" s="8">
        <f t="shared" si="8"/>
        <v>0.32490343583273407</v>
      </c>
      <c r="Y93" s="9">
        <f t="shared" si="9"/>
        <v>4.3583273409808498E-5</v>
      </c>
      <c r="Z93" s="8">
        <f t="shared" si="10"/>
        <v>0.54171528964944082</v>
      </c>
      <c r="AA93" s="8">
        <f t="shared" si="11"/>
        <v>0.39364162098618172</v>
      </c>
    </row>
    <row r="94" spans="1:27" ht="20.100000000000001" customHeight="1">
      <c r="A94" s="3">
        <v>2020</v>
      </c>
      <c r="B94" s="1" t="s">
        <v>56</v>
      </c>
      <c r="C94" s="1" t="s">
        <v>57</v>
      </c>
      <c r="D94" s="6">
        <v>200.31</v>
      </c>
      <c r="E94" s="6">
        <v>19207.8</v>
      </c>
      <c r="F94" s="6">
        <v>9752.1010000000006</v>
      </c>
      <c r="G94" s="6">
        <v>4730.5</v>
      </c>
      <c r="H94" s="6">
        <v>6.31</v>
      </c>
      <c r="I94" s="6">
        <v>9075.4</v>
      </c>
      <c r="J94" s="6">
        <v>-7824.9</v>
      </c>
      <c r="K94" s="6">
        <v>6265.2</v>
      </c>
      <c r="L94" s="6">
        <v>-1545.8</v>
      </c>
      <c r="M94" s="6">
        <v>-2249</v>
      </c>
      <c r="N94" s="6">
        <v>1.01</v>
      </c>
      <c r="O94" s="6">
        <v>-4.7847999999999997</v>
      </c>
      <c r="P94" s="6">
        <v>-60.454500000000003</v>
      </c>
      <c r="Q94" s="6">
        <v>8.9887999999999995</v>
      </c>
      <c r="R94" s="6">
        <v>17.282299999999999</v>
      </c>
      <c r="S94" s="6">
        <v>24.628</v>
      </c>
      <c r="T94" s="6">
        <v>-1.4852000000000001</v>
      </c>
      <c r="U94" s="6">
        <v>-44.635800000000003</v>
      </c>
      <c r="V94" s="7">
        <v>200000</v>
      </c>
      <c r="W94" s="6">
        <v>1.2336</v>
      </c>
      <c r="X94" s="8">
        <f t="shared" si="8"/>
        <v>0.24628015701954414</v>
      </c>
      <c r="Y94" s="9">
        <f t="shared" si="9"/>
        <v>1.5701954414026886E-5</v>
      </c>
      <c r="Z94" s="8">
        <f t="shared" si="10"/>
        <v>0.50771566759337361</v>
      </c>
      <c r="AA94" s="8">
        <f t="shared" si="11"/>
        <v>0.32617998937931464</v>
      </c>
    </row>
    <row r="95" spans="1:27" ht="20.100000000000001" customHeight="1">
      <c r="A95" s="3">
        <v>2019</v>
      </c>
      <c r="B95" s="1" t="s">
        <v>56</v>
      </c>
      <c r="C95" s="1" t="s">
        <v>57</v>
      </c>
      <c r="D95" s="6">
        <v>159.88999999999999</v>
      </c>
      <c r="E95" s="6">
        <v>21364.400000000001</v>
      </c>
      <c r="F95" s="6">
        <v>11179.4</v>
      </c>
      <c r="G95" s="6">
        <v>6025.4</v>
      </c>
      <c r="H95" s="6">
        <v>7.88</v>
      </c>
      <c r="I95" s="6">
        <v>10687.7</v>
      </c>
      <c r="J95" s="6">
        <v>-8210.2999999999993</v>
      </c>
      <c r="K95" s="6">
        <v>8122.1</v>
      </c>
      <c r="L95" s="6">
        <v>-3071.1</v>
      </c>
      <c r="M95" s="6">
        <v>-4994.8</v>
      </c>
      <c r="N95" s="6">
        <v>0.98260000000000003</v>
      </c>
      <c r="O95" s="6">
        <v>-4.1627000000000001</v>
      </c>
      <c r="P95" s="6">
        <v>-73.388300000000001</v>
      </c>
      <c r="Q95" s="6">
        <v>12.6822</v>
      </c>
      <c r="R95" s="6">
        <v>23.257100000000001</v>
      </c>
      <c r="S95" s="6">
        <v>28.202999999999999</v>
      </c>
      <c r="T95" s="6">
        <v>2.1046</v>
      </c>
      <c r="U95" s="6">
        <v>-55.3414</v>
      </c>
      <c r="V95" s="7">
        <v>205000</v>
      </c>
      <c r="W95" s="6">
        <v>1.8122</v>
      </c>
      <c r="X95" s="8">
        <f t="shared" si="8"/>
        <v>0.28202991893055734</v>
      </c>
      <c r="Y95" s="9">
        <f t="shared" si="9"/>
        <v>-8.1069442643411094E-6</v>
      </c>
      <c r="Z95" s="8">
        <f t="shared" si="10"/>
        <v>0.52327235962629415</v>
      </c>
      <c r="AA95" s="8">
        <f t="shared" si="11"/>
        <v>0.38016981520660537</v>
      </c>
    </row>
    <row r="96" spans="1:27" ht="20.100000000000001" customHeight="1">
      <c r="A96" s="3">
        <v>2018</v>
      </c>
      <c r="B96" s="1" t="s">
        <v>56</v>
      </c>
      <c r="C96" s="1" t="s">
        <v>57</v>
      </c>
      <c r="D96" s="6">
        <v>148.82</v>
      </c>
      <c r="E96" s="6">
        <v>21257.9</v>
      </c>
      <c r="F96" s="6">
        <v>10832.6</v>
      </c>
      <c r="G96" s="6">
        <v>5924.3</v>
      </c>
      <c r="H96" s="6">
        <v>7.54</v>
      </c>
      <c r="I96" s="6">
        <v>10304.6</v>
      </c>
      <c r="J96" s="6">
        <v>-6258.4</v>
      </c>
      <c r="K96" s="6">
        <v>6966.7</v>
      </c>
      <c r="L96" s="6">
        <v>-2455.1</v>
      </c>
      <c r="M96" s="6">
        <v>-5949.6</v>
      </c>
      <c r="N96" s="6">
        <v>1.3631</v>
      </c>
      <c r="O96" s="6">
        <v>-4.9653999999999998</v>
      </c>
      <c r="P96" s="6">
        <v>-94.661600000000007</v>
      </c>
      <c r="Q96" s="6">
        <v>18.055700000000002</v>
      </c>
      <c r="R96" s="6">
        <v>23.872</v>
      </c>
      <c r="S96" s="6">
        <v>27.8687</v>
      </c>
      <c r="T96" s="6">
        <v>0.84360000000000002</v>
      </c>
      <c r="U96" s="6">
        <v>-68.968199999999996</v>
      </c>
      <c r="V96" s="7">
        <v>210000</v>
      </c>
      <c r="W96" s="6">
        <v>2.4426000000000001</v>
      </c>
      <c r="X96" s="8">
        <f t="shared" si="8"/>
        <v>0.27868698225130423</v>
      </c>
      <c r="Y96" s="9">
        <f t="shared" si="9"/>
        <v>-1.7748695775310352E-6</v>
      </c>
      <c r="Z96" s="8">
        <f t="shared" si="10"/>
        <v>0.50957996791780935</v>
      </c>
      <c r="AA96" s="8">
        <f t="shared" si="11"/>
        <v>0.32772287008594447</v>
      </c>
    </row>
    <row r="97" spans="1:27" ht="20.100000000000001" customHeight="1">
      <c r="A97" s="3">
        <v>2017</v>
      </c>
      <c r="B97" s="1" t="s">
        <v>56</v>
      </c>
      <c r="C97" s="1" t="s">
        <v>57</v>
      </c>
      <c r="D97" s="6">
        <v>136.88999999999999</v>
      </c>
      <c r="E97" s="6">
        <v>22820.400000000001</v>
      </c>
      <c r="F97" s="6">
        <v>10620.8</v>
      </c>
      <c r="G97" s="6">
        <v>5192.3</v>
      </c>
      <c r="H97" s="6">
        <v>6.37</v>
      </c>
      <c r="I97" s="6">
        <v>10916.1</v>
      </c>
      <c r="J97" s="6">
        <v>-3268</v>
      </c>
      <c r="K97" s="6">
        <v>5551.2</v>
      </c>
      <c r="L97" s="6">
        <v>562</v>
      </c>
      <c r="M97" s="6">
        <v>-5310.8</v>
      </c>
      <c r="N97" s="6">
        <v>1.8429</v>
      </c>
      <c r="O97" s="6">
        <v>-9.0381</v>
      </c>
      <c r="P97" s="6">
        <v>-158.88319999999999</v>
      </c>
      <c r="Q97" s="6">
        <v>15.360200000000001</v>
      </c>
      <c r="R97" s="6">
        <v>19.766300000000001</v>
      </c>
      <c r="S97" s="6">
        <v>22.7529</v>
      </c>
      <c r="T97" s="6">
        <v>-0.27929999999999999</v>
      </c>
      <c r="U97" s="6">
        <v>-91.936499999999995</v>
      </c>
      <c r="V97" s="7">
        <v>235000</v>
      </c>
      <c r="W97" s="6">
        <v>2.1301000000000001</v>
      </c>
      <c r="X97" s="8">
        <f t="shared" si="8"/>
        <v>0.22752887767085589</v>
      </c>
      <c r="Y97" s="9">
        <f t="shared" si="9"/>
        <v>-1.2232914411214324E-5</v>
      </c>
      <c r="Z97" s="8">
        <f t="shared" si="10"/>
        <v>0.46540814359082217</v>
      </c>
      <c r="AA97" s="8">
        <f t="shared" si="11"/>
        <v>0.24325603407477517</v>
      </c>
    </row>
    <row r="98" spans="1:27" ht="20.100000000000001" customHeight="1">
      <c r="A98" s="3">
        <v>2016</v>
      </c>
      <c r="B98" s="1" t="s">
        <v>56</v>
      </c>
      <c r="C98" s="1" t="s">
        <v>57</v>
      </c>
      <c r="D98" s="6">
        <v>137.21</v>
      </c>
      <c r="E98" s="6">
        <v>24621.9</v>
      </c>
      <c r="F98" s="6">
        <v>10204.700000000001</v>
      </c>
      <c r="G98" s="6">
        <v>4686.5</v>
      </c>
      <c r="H98" s="6">
        <v>5.44</v>
      </c>
      <c r="I98" s="6">
        <v>9261.0020000000004</v>
      </c>
      <c r="J98" s="6">
        <v>-2204.3000000000002</v>
      </c>
      <c r="K98" s="6">
        <v>6059.6</v>
      </c>
      <c r="L98" s="6">
        <v>-981.6</v>
      </c>
      <c r="M98" s="6">
        <v>-11262.4</v>
      </c>
      <c r="N98" s="6">
        <v>1.3979999999999999</v>
      </c>
      <c r="O98" s="6">
        <v>-11.775</v>
      </c>
      <c r="P98" s="6">
        <v>-212.6069</v>
      </c>
      <c r="Q98" s="6">
        <v>15.1061</v>
      </c>
      <c r="R98" s="6">
        <v>19.7958</v>
      </c>
      <c r="S98" s="6">
        <v>19.033899999999999</v>
      </c>
      <c r="T98" s="6">
        <v>-0.21</v>
      </c>
      <c r="U98" s="6">
        <v>-103.20869999999999</v>
      </c>
      <c r="V98" s="7">
        <v>375000</v>
      </c>
      <c r="W98" s="6">
        <v>1.2616000000000001</v>
      </c>
      <c r="X98" s="8">
        <f t="shared" ref="X98:X129" si="12">G98/E98</f>
        <v>0.19033868223004721</v>
      </c>
      <c r="Y98" s="9">
        <f t="shared" ref="Y98:Y129" si="13">X98*100-S98</f>
        <v>-3.1776995278676168E-5</v>
      </c>
      <c r="Z98" s="8">
        <f t="shared" ref="Z98:Z129" si="14">F98/E98</f>
        <v>0.41445623611500332</v>
      </c>
      <c r="AA98" s="8">
        <f t="shared" ref="AA98:AA129" si="15">K98/E98</f>
        <v>0.24610610878932981</v>
      </c>
    </row>
    <row r="99" spans="1:27" ht="20.100000000000001" customHeight="1">
      <c r="A99" s="3">
        <v>2015</v>
      </c>
      <c r="B99" s="1" t="s">
        <v>56</v>
      </c>
      <c r="C99" s="1" t="s">
        <v>57</v>
      </c>
      <c r="D99" s="6">
        <v>101.08</v>
      </c>
      <c r="E99" s="6">
        <v>25413</v>
      </c>
      <c r="F99" s="6">
        <v>9789.2000000000007</v>
      </c>
      <c r="G99" s="6">
        <v>4529.3</v>
      </c>
      <c r="H99" s="6">
        <v>4.8</v>
      </c>
      <c r="I99" s="6">
        <v>8701.2000000000007</v>
      </c>
      <c r="J99" s="6">
        <v>7087.9</v>
      </c>
      <c r="K99" s="6">
        <v>6539.1</v>
      </c>
      <c r="L99" s="6">
        <v>-1420</v>
      </c>
      <c r="M99" s="6">
        <v>735.3</v>
      </c>
      <c r="N99" s="6">
        <v>3.2684000000000002</v>
      </c>
      <c r="O99" s="6">
        <v>3.4033000000000002</v>
      </c>
      <c r="P99" s="6">
        <v>63.901899999999998</v>
      </c>
      <c r="Q99" s="6">
        <v>11.938499999999999</v>
      </c>
      <c r="R99" s="6">
        <v>14.5123</v>
      </c>
      <c r="S99" s="6">
        <v>17.822800000000001</v>
      </c>
      <c r="T99" s="6">
        <v>0.93540000000000001</v>
      </c>
      <c r="U99" s="6">
        <v>99.074799999999996</v>
      </c>
      <c r="V99" s="7">
        <v>420000</v>
      </c>
      <c r="W99" s="6">
        <v>0.1186</v>
      </c>
      <c r="X99" s="8">
        <f t="shared" si="12"/>
        <v>0.17822767874709794</v>
      </c>
      <c r="Y99" s="9">
        <f t="shared" si="13"/>
        <v>-3.2125290207574153E-5</v>
      </c>
      <c r="Z99" s="8">
        <f t="shared" si="14"/>
        <v>0.3852044229331445</v>
      </c>
      <c r="AA99" s="8">
        <f t="shared" si="15"/>
        <v>0.25731318616456145</v>
      </c>
    </row>
    <row r="100" spans="1:27" ht="20.100000000000001" customHeight="1">
      <c r="A100" s="3">
        <v>2014</v>
      </c>
      <c r="B100" s="1" t="s">
        <v>56</v>
      </c>
      <c r="C100" s="1" t="s">
        <v>57</v>
      </c>
      <c r="D100" s="6">
        <v>108.48</v>
      </c>
      <c r="E100" s="6">
        <v>27441.3</v>
      </c>
      <c r="F100" s="6">
        <v>10455.700000000001</v>
      </c>
      <c r="G100" s="6">
        <v>4757.8</v>
      </c>
      <c r="H100" s="6">
        <v>4.82</v>
      </c>
      <c r="I100" s="6">
        <v>9593.7009999999991</v>
      </c>
      <c r="J100" s="6">
        <v>12853.4</v>
      </c>
      <c r="K100" s="6">
        <v>6730.3</v>
      </c>
      <c r="L100" s="6">
        <v>-2304.9</v>
      </c>
      <c r="M100" s="6">
        <v>-4618.3</v>
      </c>
      <c r="N100" s="6">
        <v>1.5232000000000001</v>
      </c>
      <c r="O100" s="6">
        <v>1.1619999999999999</v>
      </c>
      <c r="P100" s="6">
        <v>37.015900000000002</v>
      </c>
      <c r="Q100" s="6">
        <v>13.900600000000001</v>
      </c>
      <c r="R100" s="6">
        <v>17.121099999999998</v>
      </c>
      <c r="S100" s="6">
        <v>17.338100000000001</v>
      </c>
      <c r="T100" s="6">
        <v>2.2100000000000002E-2</v>
      </c>
      <c r="U100" s="6">
        <v>47.0227</v>
      </c>
      <c r="V100" s="7">
        <v>420000</v>
      </c>
      <c r="W100" s="6">
        <v>1.6222000000000001</v>
      </c>
      <c r="X100" s="8">
        <f t="shared" si="12"/>
        <v>0.17338099871361781</v>
      </c>
      <c r="Y100" s="9">
        <f t="shared" si="13"/>
        <v>-1.2863822007602721E-7</v>
      </c>
      <c r="Z100" s="8">
        <f t="shared" si="14"/>
        <v>0.38102057847113663</v>
      </c>
      <c r="AA100" s="8">
        <f t="shared" si="15"/>
        <v>0.24526170407378661</v>
      </c>
    </row>
    <row r="101" spans="1:27" ht="20.100000000000001" customHeight="1">
      <c r="A101" s="3">
        <v>2013</v>
      </c>
      <c r="B101" s="1" t="s">
        <v>56</v>
      </c>
      <c r="C101" s="1" t="s">
        <v>57</v>
      </c>
      <c r="D101" s="6">
        <v>91.19</v>
      </c>
      <c r="E101" s="6">
        <v>28105.7</v>
      </c>
      <c r="F101" s="6">
        <v>10902.7</v>
      </c>
      <c r="G101" s="6">
        <v>5585.9</v>
      </c>
      <c r="H101" s="6">
        <v>5.55</v>
      </c>
      <c r="I101" s="6">
        <v>10349.4</v>
      </c>
      <c r="J101" s="6">
        <v>16009.7</v>
      </c>
      <c r="K101" s="6">
        <v>7120.7</v>
      </c>
      <c r="L101" s="6">
        <v>-2673.8</v>
      </c>
      <c r="M101" s="6">
        <v>-4043</v>
      </c>
      <c r="N101" s="6">
        <v>1.5931</v>
      </c>
      <c r="O101" s="6">
        <v>0.88260000000000005</v>
      </c>
      <c r="P101" s="6">
        <v>34.890700000000002</v>
      </c>
      <c r="Q101" s="6">
        <v>15.251099999999999</v>
      </c>
      <c r="R101" s="6">
        <v>18.5335</v>
      </c>
      <c r="S101" s="6">
        <v>19.874600000000001</v>
      </c>
      <c r="T101" s="6">
        <v>0.43109999999999998</v>
      </c>
      <c r="U101" s="6">
        <v>42.520400000000002</v>
      </c>
      <c r="V101" s="7">
        <v>440000</v>
      </c>
      <c r="W101" s="6">
        <v>1.4648000000000001</v>
      </c>
      <c r="X101" s="8">
        <f t="shared" si="12"/>
        <v>0.19874616181059357</v>
      </c>
      <c r="Y101" s="9">
        <f t="shared" si="13"/>
        <v>1.6181059354636318E-5</v>
      </c>
      <c r="Z101" s="8">
        <f t="shared" si="14"/>
        <v>0.38791775333829082</v>
      </c>
      <c r="AA101" s="8">
        <f t="shared" si="15"/>
        <v>0.25335430179643276</v>
      </c>
    </row>
    <row r="102" spans="1:27" ht="20.100000000000001" customHeight="1">
      <c r="A102" s="3">
        <v>2012</v>
      </c>
      <c r="B102" s="1" t="s">
        <v>56</v>
      </c>
      <c r="C102" s="1" t="s">
        <v>57</v>
      </c>
      <c r="D102" s="6">
        <v>96.55</v>
      </c>
      <c r="E102" s="6">
        <v>27567</v>
      </c>
      <c r="F102" s="6">
        <v>10816.3</v>
      </c>
      <c r="G102" s="6">
        <v>5464.8</v>
      </c>
      <c r="H102" s="6">
        <v>5.36</v>
      </c>
      <c r="I102" s="6">
        <v>10093.1</v>
      </c>
      <c r="J102" s="6">
        <v>15293.6</v>
      </c>
      <c r="K102" s="6">
        <v>6966.1</v>
      </c>
      <c r="L102" s="6">
        <v>-3167.3</v>
      </c>
      <c r="M102" s="6">
        <v>-3849.8</v>
      </c>
      <c r="N102" s="6">
        <v>1.4463999999999999</v>
      </c>
      <c r="O102" s="6">
        <v>0.89139999999999997</v>
      </c>
      <c r="P102" s="6">
        <v>35.732599999999998</v>
      </c>
      <c r="Q102" s="6">
        <v>15.443199999999999</v>
      </c>
      <c r="R102" s="6">
        <v>18.892299999999999</v>
      </c>
      <c r="S102" s="6">
        <v>19.823699999999999</v>
      </c>
      <c r="T102" s="6">
        <v>-0.3911</v>
      </c>
      <c r="U102" s="6">
        <v>43.754800000000003</v>
      </c>
      <c r="V102" s="7">
        <v>440000</v>
      </c>
      <c r="W102" s="6">
        <v>2.0693000000000001</v>
      </c>
      <c r="X102" s="8">
        <f t="shared" si="12"/>
        <v>0.1982370225269344</v>
      </c>
      <c r="Y102" s="9">
        <f t="shared" si="13"/>
        <v>2.2526934415623145E-6</v>
      </c>
      <c r="Z102" s="8">
        <f t="shared" si="14"/>
        <v>0.39236405847571371</v>
      </c>
      <c r="AA102" s="8">
        <f t="shared" si="15"/>
        <v>0.25269706533173725</v>
      </c>
    </row>
    <row r="103" spans="1:27" ht="20.100000000000001" customHeight="1">
      <c r="A103" s="3">
        <v>2011</v>
      </c>
      <c r="B103" s="1" t="s">
        <v>56</v>
      </c>
      <c r="C103" s="1" t="s">
        <v>57</v>
      </c>
      <c r="D103" s="6">
        <v>88.56</v>
      </c>
      <c r="E103" s="6">
        <v>27006</v>
      </c>
      <c r="F103" s="6">
        <v>10686.6</v>
      </c>
      <c r="G103" s="6">
        <v>5503.1</v>
      </c>
      <c r="H103" s="6">
        <v>5.27</v>
      </c>
      <c r="I103" s="6">
        <v>9944.7009999999991</v>
      </c>
      <c r="J103" s="6">
        <v>14390.2</v>
      </c>
      <c r="K103" s="6">
        <v>7150.1</v>
      </c>
      <c r="L103" s="6">
        <v>-2570.9</v>
      </c>
      <c r="M103" s="6">
        <v>-4533</v>
      </c>
      <c r="N103" s="6">
        <v>1.2546999999999999</v>
      </c>
      <c r="O103" s="6">
        <v>0.86870000000000003</v>
      </c>
      <c r="P103" s="6">
        <v>38.241999999999997</v>
      </c>
      <c r="Q103" s="6">
        <v>16.6812</v>
      </c>
      <c r="R103" s="6">
        <v>20.747599999999998</v>
      </c>
      <c r="S103" s="6">
        <v>20.377300000000002</v>
      </c>
      <c r="T103" s="6">
        <v>0.33689999999999998</v>
      </c>
      <c r="U103" s="6">
        <v>46.886800000000001</v>
      </c>
      <c r="V103" s="7">
        <v>420000</v>
      </c>
      <c r="W103" s="6">
        <v>3.1568000000000001</v>
      </c>
      <c r="X103" s="8">
        <f t="shared" si="12"/>
        <v>0.20377323557727914</v>
      </c>
      <c r="Y103" s="9">
        <f t="shared" si="13"/>
        <v>2.3557727910628046E-5</v>
      </c>
      <c r="Z103" s="8">
        <f t="shared" si="14"/>
        <v>0.39571206398578096</v>
      </c>
      <c r="AA103" s="8">
        <f t="shared" si="15"/>
        <v>0.26475968303339997</v>
      </c>
    </row>
    <row r="104" spans="1:27" ht="20.100000000000001" customHeight="1">
      <c r="A104" s="3">
        <v>2010</v>
      </c>
      <c r="B104" s="1" t="s">
        <v>56</v>
      </c>
      <c r="C104" s="1" t="s">
        <v>57</v>
      </c>
      <c r="D104" s="6">
        <v>102.66</v>
      </c>
      <c r="E104" s="6">
        <v>24074.6</v>
      </c>
      <c r="F104" s="6">
        <v>9637.2999999999993</v>
      </c>
      <c r="G104" s="6">
        <v>4946.3</v>
      </c>
      <c r="H104" s="6">
        <v>4.58</v>
      </c>
      <c r="I104" s="6">
        <v>8749.2999999999993</v>
      </c>
      <c r="J104" s="6">
        <v>14634.2</v>
      </c>
      <c r="K104" s="6">
        <v>6341.6</v>
      </c>
      <c r="L104" s="6">
        <v>-2056</v>
      </c>
      <c r="M104" s="6">
        <v>-3728.7</v>
      </c>
      <c r="N104" s="6">
        <v>1.4937</v>
      </c>
      <c r="O104" s="6">
        <v>0.78620000000000001</v>
      </c>
      <c r="P104" s="6">
        <v>33.799599999999998</v>
      </c>
      <c r="Q104" s="6">
        <v>15.469200000000001</v>
      </c>
      <c r="R104" s="6">
        <v>18.928699999999999</v>
      </c>
      <c r="S104" s="6">
        <v>20.5457</v>
      </c>
      <c r="T104" s="6">
        <v>0.46300000000000002</v>
      </c>
      <c r="U104" s="6">
        <v>41.054600000000001</v>
      </c>
      <c r="V104" s="7">
        <v>400000</v>
      </c>
      <c r="W104" s="6">
        <v>1.64</v>
      </c>
      <c r="X104" s="8">
        <f t="shared" si="12"/>
        <v>0.20545720385800806</v>
      </c>
      <c r="Y104" s="9">
        <f t="shared" si="13"/>
        <v>2.0385800805655663E-5</v>
      </c>
      <c r="Z104" s="8">
        <f t="shared" si="14"/>
        <v>0.40030987015360586</v>
      </c>
      <c r="AA104" s="8">
        <f t="shared" si="15"/>
        <v>0.26341455309745543</v>
      </c>
    </row>
    <row r="105" spans="1:27" ht="20.100000000000001" customHeight="1">
      <c r="A105" s="3">
        <v>2009</v>
      </c>
      <c r="B105" s="1" t="s">
        <v>56</v>
      </c>
      <c r="C105" s="1" t="s">
        <v>57</v>
      </c>
      <c r="D105" s="6">
        <v>81.099999999999994</v>
      </c>
      <c r="E105" s="6">
        <v>22744.7</v>
      </c>
      <c r="F105" s="6">
        <v>8791.7999999999993</v>
      </c>
      <c r="G105" s="6">
        <v>4551</v>
      </c>
      <c r="H105" s="6">
        <v>4.1100000000000003</v>
      </c>
      <c r="I105" s="6">
        <v>8057.2</v>
      </c>
      <c r="J105" s="6">
        <v>14033.9</v>
      </c>
      <c r="K105" s="6">
        <v>5751</v>
      </c>
      <c r="L105" s="6">
        <v>-1655.3</v>
      </c>
      <c r="M105" s="6">
        <v>-4421</v>
      </c>
      <c r="N105" s="6">
        <v>1.1431</v>
      </c>
      <c r="O105" s="6">
        <v>0.75380000000000003</v>
      </c>
      <c r="P105" s="6">
        <v>32.428600000000003</v>
      </c>
      <c r="Q105" s="6">
        <v>15.0571</v>
      </c>
      <c r="R105" s="6">
        <v>18.5044</v>
      </c>
      <c r="S105" s="6">
        <v>20.0091</v>
      </c>
      <c r="T105" s="6">
        <v>3.4304999999999999</v>
      </c>
      <c r="U105" s="6">
        <v>39.203400000000002</v>
      </c>
      <c r="V105" s="7">
        <v>385000</v>
      </c>
      <c r="W105" s="6">
        <v>-0.35549999999999998</v>
      </c>
      <c r="X105" s="8">
        <f t="shared" si="12"/>
        <v>0.20009057055050186</v>
      </c>
      <c r="Y105" s="9">
        <f t="shared" si="13"/>
        <v>-4.2944949814938127E-5</v>
      </c>
      <c r="Z105" s="8">
        <f t="shared" si="14"/>
        <v>0.38654279898174077</v>
      </c>
      <c r="AA105" s="8">
        <f t="shared" si="15"/>
        <v>0.25285011453217671</v>
      </c>
    </row>
    <row r="106" spans="1:27" ht="20.100000000000001" customHeight="1">
      <c r="A106" s="3">
        <v>2022</v>
      </c>
      <c r="B106" s="1" t="s">
        <v>58</v>
      </c>
      <c r="C106" s="1" t="s">
        <v>59</v>
      </c>
      <c r="D106" s="6">
        <v>32.53</v>
      </c>
      <c r="E106" s="6">
        <v>30868.080000000002</v>
      </c>
      <c r="F106" s="6">
        <v>30868.080000000002</v>
      </c>
      <c r="G106" s="6">
        <v>6212.9489999999996</v>
      </c>
      <c r="H106" s="6">
        <v>1.4743999999999999</v>
      </c>
      <c r="I106" s="6">
        <v>1</v>
      </c>
      <c r="J106" s="6">
        <v>85667.7</v>
      </c>
      <c r="K106" s="6">
        <v>37392.720000000001</v>
      </c>
      <c r="L106" s="6">
        <v>-26807.33</v>
      </c>
      <c r="M106" s="6">
        <v>860.88239999999996</v>
      </c>
      <c r="N106" s="6">
        <v>1</v>
      </c>
      <c r="O106" s="6">
        <v>7.1601999999999997</v>
      </c>
      <c r="P106" s="6">
        <v>8.6240000000000006</v>
      </c>
      <c r="Q106" s="6">
        <v>0.39460000000000001</v>
      </c>
      <c r="R106" s="6">
        <v>1.284</v>
      </c>
      <c r="S106" s="6">
        <v>21.161999999999999</v>
      </c>
      <c r="T106" s="6">
        <v>-6.5476999999999999</v>
      </c>
      <c r="U106" s="6">
        <v>9.7883999999999993</v>
      </c>
      <c r="V106" s="7">
        <v>87400</v>
      </c>
      <c r="W106" s="6">
        <v>8.0028000000000006</v>
      </c>
      <c r="X106" s="8">
        <f t="shared" si="12"/>
        <v>0.20127422891219665</v>
      </c>
      <c r="Y106" s="9">
        <f t="shared" si="13"/>
        <v>-1.0345771087803328</v>
      </c>
      <c r="Z106" s="8">
        <f t="shared" si="14"/>
        <v>1</v>
      </c>
      <c r="AA106" s="8">
        <f t="shared" si="15"/>
        <v>1.2113717471251857</v>
      </c>
    </row>
    <row r="107" spans="1:27" ht="20.100000000000001" customHeight="1">
      <c r="A107" s="3">
        <v>2021</v>
      </c>
      <c r="B107" s="1" t="s">
        <v>58</v>
      </c>
      <c r="C107" s="1" t="s">
        <v>59</v>
      </c>
      <c r="D107" s="6">
        <v>43.6</v>
      </c>
      <c r="E107" s="6">
        <v>30169.69</v>
      </c>
      <c r="F107" s="6">
        <v>30169.69</v>
      </c>
      <c r="G107" s="6">
        <v>8766.2630000000008</v>
      </c>
      <c r="H107" s="6">
        <v>2.0131000000000001</v>
      </c>
      <c r="I107" s="6">
        <v>1</v>
      </c>
      <c r="J107" s="6">
        <v>96547.15</v>
      </c>
      <c r="K107" s="6">
        <v>67268.52</v>
      </c>
      <c r="L107" s="6">
        <v>5871.6769999999997</v>
      </c>
      <c r="M107" s="6">
        <v>147.13570000000001</v>
      </c>
      <c r="N107" s="6">
        <v>1</v>
      </c>
      <c r="O107" s="6">
        <v>6.3395999999999999</v>
      </c>
      <c r="P107" s="6">
        <v>10.2918</v>
      </c>
      <c r="Q107" s="6">
        <v>0.52200000000000002</v>
      </c>
      <c r="R107" s="6">
        <v>1.6696</v>
      </c>
      <c r="S107" s="6">
        <v>28.216699999999999</v>
      </c>
      <c r="T107" s="6">
        <v>-1.4282999999999999</v>
      </c>
      <c r="U107" s="6">
        <v>11.6267</v>
      </c>
      <c r="V107" s="7">
        <v>81600</v>
      </c>
      <c r="W107" s="6">
        <v>4.6978999999999997</v>
      </c>
      <c r="X107" s="8">
        <f t="shared" si="12"/>
        <v>0.2905652328545637</v>
      </c>
      <c r="Y107" s="9">
        <f t="shared" si="13"/>
        <v>0.8398232854563723</v>
      </c>
      <c r="Z107" s="8">
        <f t="shared" si="14"/>
        <v>1</v>
      </c>
      <c r="AA107" s="8">
        <f t="shared" si="15"/>
        <v>2.2296722306394265</v>
      </c>
    </row>
    <row r="108" spans="1:27" ht="20.100000000000001" customHeight="1">
      <c r="A108" s="3">
        <v>2020</v>
      </c>
      <c r="B108" s="1" t="s">
        <v>58</v>
      </c>
      <c r="C108" s="1" t="s">
        <v>59</v>
      </c>
      <c r="D108" s="6">
        <v>34.659999999999997</v>
      </c>
      <c r="E108" s="6">
        <v>27947.54</v>
      </c>
      <c r="F108" s="6">
        <v>27947.54</v>
      </c>
      <c r="G108" s="6">
        <v>1959.384</v>
      </c>
      <c r="H108" s="6">
        <v>0.44159999999999999</v>
      </c>
      <c r="I108" s="6">
        <v>1</v>
      </c>
      <c r="J108" s="6">
        <v>85876.479999999996</v>
      </c>
      <c r="K108" s="6">
        <v>73836.42</v>
      </c>
      <c r="L108" s="6">
        <v>-23594.78</v>
      </c>
      <c r="M108" s="6">
        <v>3507.8879999999999</v>
      </c>
      <c r="N108" s="6">
        <v>1</v>
      </c>
      <c r="O108" s="6">
        <v>6.0327000000000002</v>
      </c>
      <c r="P108" s="6">
        <v>3.6796000000000002</v>
      </c>
      <c r="Q108" s="6">
        <v>0.18240000000000001</v>
      </c>
      <c r="R108" s="6">
        <v>0.60199999999999998</v>
      </c>
      <c r="S108" s="6">
        <v>9.0146999999999995</v>
      </c>
      <c r="T108" s="6">
        <v>20.434100000000001</v>
      </c>
      <c r="U108" s="6">
        <v>4.1759000000000004</v>
      </c>
      <c r="V108" s="7">
        <v>83000</v>
      </c>
      <c r="W108" s="6">
        <v>1.2336</v>
      </c>
      <c r="X108" s="8">
        <f t="shared" si="12"/>
        <v>7.0109354884186584E-2</v>
      </c>
      <c r="Y108" s="9">
        <f t="shared" si="13"/>
        <v>-2.0037645115813412</v>
      </c>
      <c r="Z108" s="8">
        <f t="shared" si="14"/>
        <v>1</v>
      </c>
      <c r="AA108" s="8">
        <f t="shared" si="15"/>
        <v>2.6419649099706093</v>
      </c>
    </row>
    <row r="109" spans="1:27" ht="20.100000000000001" customHeight="1">
      <c r="A109" s="3">
        <v>2019</v>
      </c>
      <c r="B109" s="1" t="s">
        <v>58</v>
      </c>
      <c r="C109" s="1" t="s">
        <v>59</v>
      </c>
      <c r="D109" s="6">
        <v>40.78</v>
      </c>
      <c r="E109" s="6">
        <v>27621.9</v>
      </c>
      <c r="F109" s="6">
        <v>27621.9</v>
      </c>
      <c r="G109" s="6">
        <v>4180.5709999999999</v>
      </c>
      <c r="H109" s="6">
        <v>0.72</v>
      </c>
      <c r="I109" s="6">
        <v>1</v>
      </c>
      <c r="J109" s="6">
        <v>83841.259999999995</v>
      </c>
      <c r="K109" s="6">
        <v>-15699.49</v>
      </c>
      <c r="L109" s="6">
        <v>-16377.52</v>
      </c>
      <c r="M109" s="6">
        <v>881.06100000000004</v>
      </c>
      <c r="N109" s="6">
        <v>1</v>
      </c>
      <c r="O109" s="6">
        <v>5.3348000000000004</v>
      </c>
      <c r="P109" s="6">
        <v>5.1081000000000003</v>
      </c>
      <c r="Q109" s="6">
        <v>0.29420000000000002</v>
      </c>
      <c r="R109" s="6">
        <v>0.92010000000000003</v>
      </c>
      <c r="S109" s="6">
        <v>16.602399999999999</v>
      </c>
      <c r="T109" s="6">
        <v>-6.2895000000000003</v>
      </c>
      <c r="U109" s="6">
        <v>5.8289</v>
      </c>
      <c r="V109" s="7">
        <v>80800</v>
      </c>
      <c r="W109" s="6">
        <v>1.8122</v>
      </c>
      <c r="X109" s="8">
        <f t="shared" si="12"/>
        <v>0.15134987093574301</v>
      </c>
      <c r="Y109" s="9">
        <f t="shared" si="13"/>
        <v>-1.4674129064256984</v>
      </c>
      <c r="Z109" s="8">
        <f t="shared" si="14"/>
        <v>1</v>
      </c>
      <c r="AA109" s="8">
        <f t="shared" si="15"/>
        <v>-0.56837111132833007</v>
      </c>
    </row>
    <row r="110" spans="1:27" ht="20.100000000000001" customHeight="1">
      <c r="A110" s="3">
        <v>2018</v>
      </c>
      <c r="B110" s="1" t="s">
        <v>58</v>
      </c>
      <c r="C110" s="1" t="s">
        <v>59</v>
      </c>
      <c r="D110" s="6">
        <v>31.68</v>
      </c>
      <c r="E110" s="6">
        <v>28212.33</v>
      </c>
      <c r="F110" s="6">
        <v>28212.33</v>
      </c>
      <c r="G110" s="6">
        <v>1860.711</v>
      </c>
      <c r="H110" s="6">
        <v>0.49120000000000003</v>
      </c>
      <c r="I110" s="6">
        <v>1</v>
      </c>
      <c r="J110" s="6">
        <v>85132.21</v>
      </c>
      <c r="K110" s="6">
        <v>11351.14</v>
      </c>
      <c r="L110" s="6">
        <v>903.65959999999995</v>
      </c>
      <c r="M110" s="6">
        <v>-9059.2880000000005</v>
      </c>
      <c r="N110" s="6">
        <v>1</v>
      </c>
      <c r="O110" s="6">
        <v>5.8975</v>
      </c>
      <c r="P110" s="6">
        <v>3.7191000000000001</v>
      </c>
      <c r="Q110" s="6">
        <v>0.20930000000000001</v>
      </c>
      <c r="R110" s="6">
        <v>0.61860000000000004</v>
      </c>
      <c r="S110" s="6">
        <v>7.0876999999999999</v>
      </c>
      <c r="T110" s="6">
        <v>-15.571199999999999</v>
      </c>
      <c r="U110" s="6">
        <v>4.2504</v>
      </c>
      <c r="V110" s="7">
        <v>83500</v>
      </c>
      <c r="W110" s="6">
        <v>2.4426000000000001</v>
      </c>
      <c r="X110" s="8">
        <f t="shared" si="12"/>
        <v>6.59538223181141E-2</v>
      </c>
      <c r="Y110" s="9">
        <f t="shared" si="13"/>
        <v>-0.49231776818858997</v>
      </c>
      <c r="Z110" s="8">
        <f t="shared" si="14"/>
        <v>1</v>
      </c>
      <c r="AA110" s="8">
        <f t="shared" si="15"/>
        <v>0.40234677532837587</v>
      </c>
    </row>
    <row r="111" spans="1:27" ht="20.100000000000001" customHeight="1">
      <c r="A111" s="3">
        <v>2017</v>
      </c>
      <c r="B111" s="1" t="s">
        <v>58</v>
      </c>
      <c r="C111" s="1" t="s">
        <v>59</v>
      </c>
      <c r="D111" s="6">
        <v>45.79</v>
      </c>
      <c r="E111" s="6">
        <v>27162.75</v>
      </c>
      <c r="F111" s="6">
        <v>27162.75</v>
      </c>
      <c r="G111" s="6">
        <v>-2477.0729999999999</v>
      </c>
      <c r="H111" s="6">
        <v>-0.57299999999999995</v>
      </c>
      <c r="I111" s="6">
        <v>1</v>
      </c>
      <c r="J111" s="6">
        <v>85081.42</v>
      </c>
      <c r="K111" s="6">
        <v>78244.34</v>
      </c>
      <c r="L111" s="6">
        <v>4513.3770000000004</v>
      </c>
      <c r="M111" s="6">
        <v>1238.537</v>
      </c>
      <c r="N111" s="6">
        <v>1</v>
      </c>
      <c r="O111" s="6">
        <v>5.2797000000000001</v>
      </c>
      <c r="P111" s="6">
        <v>1.9706999999999999</v>
      </c>
      <c r="Q111" s="6">
        <v>0.1148</v>
      </c>
      <c r="R111" s="6">
        <v>0.38619999999999999</v>
      </c>
      <c r="S111" s="6">
        <v>-10.2561</v>
      </c>
      <c r="T111" s="6">
        <v>14.5974</v>
      </c>
      <c r="U111" s="6">
        <v>2.2366999999999999</v>
      </c>
      <c r="V111" s="7">
        <v>79900</v>
      </c>
      <c r="W111" s="6">
        <v>2.1301000000000001</v>
      </c>
      <c r="X111" s="8">
        <f t="shared" si="12"/>
        <v>-9.1193748792003745E-2</v>
      </c>
      <c r="Y111" s="9">
        <f t="shared" si="13"/>
        <v>1.1367251207996247</v>
      </c>
      <c r="Z111" s="8">
        <f t="shared" si="14"/>
        <v>1</v>
      </c>
      <c r="AA111" s="8">
        <f t="shared" si="15"/>
        <v>2.8805750522314564</v>
      </c>
    </row>
    <row r="112" spans="1:27" ht="20.100000000000001" customHeight="1">
      <c r="A112" s="3">
        <v>2016</v>
      </c>
      <c r="B112" s="1" t="s">
        <v>58</v>
      </c>
      <c r="C112" s="1" t="s">
        <v>59</v>
      </c>
      <c r="D112" s="6">
        <v>46.21</v>
      </c>
      <c r="E112" s="6">
        <v>29072.54</v>
      </c>
      <c r="F112" s="6">
        <v>29072.54</v>
      </c>
      <c r="G112" s="6">
        <v>2373.13</v>
      </c>
      <c r="H112" s="6">
        <v>0.55840000000000001</v>
      </c>
      <c r="I112" s="6">
        <v>1</v>
      </c>
      <c r="J112" s="6">
        <v>96720.98</v>
      </c>
      <c r="K112" s="6">
        <v>15295.92</v>
      </c>
      <c r="L112" s="6">
        <v>49749</v>
      </c>
      <c r="M112" s="6">
        <v>-1784.93</v>
      </c>
      <c r="N112" s="6">
        <v>1</v>
      </c>
      <c r="O112" s="6">
        <v>3.5002</v>
      </c>
      <c r="P112" s="6">
        <v>3.1345999999999998</v>
      </c>
      <c r="Q112" s="6">
        <v>0.18440000000000001</v>
      </c>
      <c r="R112" s="6">
        <v>0.8387</v>
      </c>
      <c r="S112" s="6">
        <v>9.1781000000000006</v>
      </c>
      <c r="T112" s="6">
        <v>-2.4382000000000001</v>
      </c>
      <c r="U112" s="6">
        <v>3.5150999999999999</v>
      </c>
      <c r="V112" s="7">
        <v>119300</v>
      </c>
      <c r="W112" s="6">
        <v>1.2616000000000001</v>
      </c>
      <c r="X112" s="8">
        <f t="shared" si="12"/>
        <v>8.1627886658682036E-2</v>
      </c>
      <c r="Y112" s="9">
        <f t="shared" si="13"/>
        <v>-1.0153113341317965</v>
      </c>
      <c r="Z112" s="8">
        <f t="shared" si="14"/>
        <v>1</v>
      </c>
      <c r="AA112" s="8">
        <f t="shared" si="15"/>
        <v>0.52612946787587189</v>
      </c>
    </row>
    <row r="113" spans="1:27" ht="20.100000000000001" customHeight="1">
      <c r="A113" s="3">
        <v>2015</v>
      </c>
      <c r="B113" s="1" t="s">
        <v>58</v>
      </c>
      <c r="C113" s="1" t="s">
        <v>59</v>
      </c>
      <c r="D113" s="6">
        <v>53.45</v>
      </c>
      <c r="E113" s="6">
        <v>38919.160000000003</v>
      </c>
      <c r="F113" s="6">
        <v>38919.160000000003</v>
      </c>
      <c r="G113" s="6">
        <v>-495.39600000000002</v>
      </c>
      <c r="H113" s="6">
        <v>-0.1162</v>
      </c>
      <c r="I113" s="6">
        <v>1</v>
      </c>
      <c r="J113" s="6">
        <v>100706.1</v>
      </c>
      <c r="K113" s="6">
        <v>24659.71</v>
      </c>
      <c r="L113" s="6">
        <v>-12895.59</v>
      </c>
      <c r="M113" s="6">
        <v>-674.28899999999999</v>
      </c>
      <c r="N113" s="6">
        <v>1</v>
      </c>
      <c r="O113" s="6">
        <v>3.6646000000000001</v>
      </c>
      <c r="P113" s="6">
        <v>0.94589999999999996</v>
      </c>
      <c r="Q113" s="6">
        <v>5.5599999999999997E-2</v>
      </c>
      <c r="R113" s="6">
        <v>0.251</v>
      </c>
      <c r="S113" s="6">
        <v>-1.3882000000000001</v>
      </c>
      <c r="T113" s="6">
        <v>9.9995999999999992</v>
      </c>
      <c r="U113" s="6">
        <v>1.0808</v>
      </c>
      <c r="V113" s="7">
        <v>129400</v>
      </c>
      <c r="W113" s="6">
        <v>0.1186</v>
      </c>
      <c r="X113" s="8">
        <f t="shared" si="12"/>
        <v>-1.272884615186967E-2</v>
      </c>
      <c r="Y113" s="9">
        <f t="shared" si="13"/>
        <v>0.11531538481303305</v>
      </c>
      <c r="Z113" s="8">
        <f t="shared" si="14"/>
        <v>1</v>
      </c>
      <c r="AA113" s="8">
        <f t="shared" si="15"/>
        <v>0.63361362372671959</v>
      </c>
    </row>
    <row r="114" spans="1:27" ht="20.100000000000001" customHeight="1">
      <c r="A114" s="3">
        <v>2014</v>
      </c>
      <c r="B114" s="1" t="s">
        <v>58</v>
      </c>
      <c r="C114" s="1" t="s">
        <v>59</v>
      </c>
      <c r="D114" s="6">
        <v>60.47</v>
      </c>
      <c r="E114" s="6">
        <v>41677.15</v>
      </c>
      <c r="F114" s="6">
        <v>41677.15</v>
      </c>
      <c r="G114" s="6">
        <v>-197.77160000000001</v>
      </c>
      <c r="H114" s="6">
        <v>-4.5999999999999999E-2</v>
      </c>
      <c r="I114" s="6">
        <v>1</v>
      </c>
      <c r="J114" s="6">
        <v>108705.4</v>
      </c>
      <c r="K114" s="6">
        <v>-17207.810000000001</v>
      </c>
      <c r="L114" s="6">
        <v>17560.509999999998</v>
      </c>
      <c r="M114" s="6">
        <v>-5039.8900000000003</v>
      </c>
      <c r="N114" s="6">
        <v>1</v>
      </c>
      <c r="O114" s="6">
        <v>5.0612000000000004</v>
      </c>
      <c r="P114" s="6">
        <v>1.2810999999999999</v>
      </c>
      <c r="Q114" s="6">
        <v>6.2199999999999998E-2</v>
      </c>
      <c r="R114" s="6">
        <v>0.36709999999999998</v>
      </c>
      <c r="S114" s="6">
        <v>-0.51900000000000002</v>
      </c>
      <c r="T114" s="6">
        <v>6.6557000000000004</v>
      </c>
      <c r="U114" s="6">
        <v>1.4624999999999999</v>
      </c>
      <c r="V114" s="7">
        <v>132300</v>
      </c>
      <c r="W114" s="6">
        <v>1.6222000000000001</v>
      </c>
      <c r="X114" s="8">
        <f t="shared" si="12"/>
        <v>-4.7453244763617473E-3</v>
      </c>
      <c r="Y114" s="9">
        <f t="shared" si="13"/>
        <v>4.4467552363825269E-2</v>
      </c>
      <c r="Z114" s="8">
        <f t="shared" si="14"/>
        <v>1</v>
      </c>
      <c r="AA114" s="8">
        <f t="shared" si="15"/>
        <v>-0.41288355849668223</v>
      </c>
    </row>
    <row r="115" spans="1:27" ht="20.100000000000001" customHeight="1">
      <c r="A115" s="3">
        <v>2013</v>
      </c>
      <c r="B115" s="1" t="s">
        <v>58</v>
      </c>
      <c r="C115" s="1" t="s">
        <v>59</v>
      </c>
      <c r="D115" s="6">
        <v>55.49</v>
      </c>
      <c r="E115" s="6">
        <v>43712.69</v>
      </c>
      <c r="F115" s="6">
        <v>43712.69</v>
      </c>
      <c r="G115" s="6">
        <v>846.55679999999995</v>
      </c>
      <c r="H115" s="6">
        <v>0.23200000000000001</v>
      </c>
      <c r="I115" s="6">
        <v>1</v>
      </c>
      <c r="J115" s="6">
        <v>100067.4</v>
      </c>
      <c r="K115" s="6">
        <v>-39392.269999999997</v>
      </c>
      <c r="L115" s="6">
        <v>-35434.89</v>
      </c>
      <c r="M115" s="6">
        <v>9247.9680000000008</v>
      </c>
      <c r="N115" s="6">
        <v>1</v>
      </c>
      <c r="O115" s="6">
        <v>6.6208</v>
      </c>
      <c r="P115" s="6">
        <v>2.0282</v>
      </c>
      <c r="Q115" s="6">
        <v>9.8799999999999999E-2</v>
      </c>
      <c r="R115" s="6">
        <v>0.54700000000000004</v>
      </c>
      <c r="S115" s="6">
        <v>2.1758000000000002</v>
      </c>
      <c r="T115" s="6">
        <v>-3.8584999999999998</v>
      </c>
      <c r="U115" s="6">
        <v>2.3052000000000001</v>
      </c>
      <c r="V115" s="7">
        <v>139600</v>
      </c>
      <c r="W115" s="6">
        <v>1.4648000000000001</v>
      </c>
      <c r="X115" s="8">
        <f t="shared" si="12"/>
        <v>1.936638536772731E-2</v>
      </c>
      <c r="Y115" s="9">
        <f t="shared" si="13"/>
        <v>-0.23916146322726917</v>
      </c>
      <c r="Z115" s="8">
        <f t="shared" si="14"/>
        <v>1</v>
      </c>
      <c r="AA115" s="8">
        <f t="shared" si="15"/>
        <v>-0.90116325488090521</v>
      </c>
    </row>
    <row r="116" spans="1:27" ht="20.100000000000001" customHeight="1">
      <c r="A116" s="3">
        <v>2012</v>
      </c>
      <c r="B116" s="1" t="s">
        <v>58</v>
      </c>
      <c r="C116" s="1" t="s">
        <v>59</v>
      </c>
      <c r="D116" s="6">
        <v>52.82</v>
      </c>
      <c r="E116" s="6">
        <v>46036.06</v>
      </c>
      <c r="F116" s="6">
        <v>46036.06</v>
      </c>
      <c r="G116" s="6">
        <v>-1650.0889999999999</v>
      </c>
      <c r="H116" s="6">
        <v>-0.53900000000000003</v>
      </c>
      <c r="I116" s="6">
        <v>1</v>
      </c>
      <c r="J116" s="6">
        <v>99793.14</v>
      </c>
      <c r="K116" s="6">
        <v>-21741.23</v>
      </c>
      <c r="L116" s="6">
        <v>-11252.63</v>
      </c>
      <c r="M116" s="6">
        <v>-4504.8540000000003</v>
      </c>
      <c r="N116" s="6">
        <v>1</v>
      </c>
      <c r="O116" s="6">
        <v>7.6879999999999997</v>
      </c>
      <c r="P116" s="6">
        <v>-0.37490000000000001</v>
      </c>
      <c r="Q116" s="6">
        <v>-1.5800000000000002E-2</v>
      </c>
      <c r="R116" s="6">
        <v>-8.2900000000000001E-2</v>
      </c>
      <c r="S116" s="6">
        <v>-4.0909000000000004</v>
      </c>
      <c r="T116" s="6">
        <v>-21.998000000000001</v>
      </c>
      <c r="U116" s="6">
        <v>-0.42880000000000001</v>
      </c>
      <c r="V116" s="7">
        <v>139200</v>
      </c>
      <c r="W116" s="6">
        <v>2.0693000000000001</v>
      </c>
      <c r="X116" s="8">
        <f t="shared" si="12"/>
        <v>-3.5843401889736004E-2</v>
      </c>
      <c r="Y116" s="9">
        <f t="shared" si="13"/>
        <v>0.50655981102640002</v>
      </c>
      <c r="Z116" s="8">
        <f t="shared" si="14"/>
        <v>1</v>
      </c>
      <c r="AA116" s="8">
        <f t="shared" si="15"/>
        <v>-0.47226521991673487</v>
      </c>
    </row>
    <row r="117" spans="1:27" ht="20.100000000000001" customHeight="1">
      <c r="A117" s="3">
        <v>2011</v>
      </c>
      <c r="B117" s="1" t="s">
        <v>58</v>
      </c>
      <c r="C117" s="1" t="s">
        <v>59</v>
      </c>
      <c r="D117" s="6">
        <v>33.47</v>
      </c>
      <c r="E117" s="6">
        <v>48866.82</v>
      </c>
      <c r="F117" s="6">
        <v>48866.82</v>
      </c>
      <c r="G117" s="6">
        <v>6338.98</v>
      </c>
      <c r="H117" s="6">
        <v>1.54</v>
      </c>
      <c r="I117" s="6">
        <v>1</v>
      </c>
      <c r="J117" s="6">
        <v>104600.5</v>
      </c>
      <c r="K117" s="6">
        <v>46654.34</v>
      </c>
      <c r="L117" s="6">
        <v>-3067.61</v>
      </c>
      <c r="M117" s="6">
        <v>-9563.82</v>
      </c>
      <c r="N117" s="6">
        <v>1</v>
      </c>
      <c r="O117" s="6">
        <v>7.6044999999999998</v>
      </c>
      <c r="P117" s="6">
        <v>4.6121999999999996</v>
      </c>
      <c r="Q117" s="6">
        <v>0.1923</v>
      </c>
      <c r="R117" s="6">
        <v>1.3680000000000001</v>
      </c>
      <c r="S117" s="6">
        <v>12.235200000000001</v>
      </c>
      <c r="T117" s="6">
        <v>6.1199000000000003</v>
      </c>
      <c r="U117" s="6">
        <v>5.2431999999999999</v>
      </c>
      <c r="V117" s="7">
        <v>141100</v>
      </c>
      <c r="W117" s="6">
        <v>3.1568000000000001</v>
      </c>
      <c r="X117" s="8">
        <f t="shared" si="12"/>
        <v>0.1297195111120388</v>
      </c>
      <c r="Y117" s="9">
        <f t="shared" si="13"/>
        <v>0.73675111120387982</v>
      </c>
      <c r="Z117" s="8">
        <f t="shared" si="14"/>
        <v>1</v>
      </c>
      <c r="AA117" s="8">
        <f t="shared" si="15"/>
        <v>0.95472428940536747</v>
      </c>
    </row>
    <row r="118" spans="1:27" ht="20.100000000000001" customHeight="1">
      <c r="A118" s="3">
        <v>2010</v>
      </c>
      <c r="B118" s="1" t="s">
        <v>58</v>
      </c>
      <c r="C118" s="1" t="s">
        <v>59</v>
      </c>
      <c r="D118" s="6">
        <v>47.13</v>
      </c>
      <c r="E118" s="6">
        <v>49030.07</v>
      </c>
      <c r="F118" s="6">
        <v>49030.07</v>
      </c>
      <c r="G118" s="6">
        <v>7034.11</v>
      </c>
      <c r="H118" s="6">
        <v>1.84</v>
      </c>
      <c r="I118" s="6">
        <v>1</v>
      </c>
      <c r="J118" s="6">
        <v>96275.73</v>
      </c>
      <c r="K118" s="6">
        <v>28894.16</v>
      </c>
      <c r="L118" s="6">
        <v>-8701.0300000000007</v>
      </c>
      <c r="M118" s="6">
        <v>245.86</v>
      </c>
      <c r="N118" s="6">
        <v>1</v>
      </c>
      <c r="O118" s="6">
        <v>9.3328000000000007</v>
      </c>
      <c r="P118" s="6">
        <v>6.0555000000000003</v>
      </c>
      <c r="Q118" s="6">
        <v>0.25309999999999999</v>
      </c>
      <c r="R118" s="6">
        <v>1.5241</v>
      </c>
      <c r="S118" s="6">
        <v>14.4688</v>
      </c>
      <c r="T118" s="6">
        <v>-12.8733</v>
      </c>
      <c r="U118" s="6">
        <v>7.0387000000000004</v>
      </c>
      <c r="V118" s="7">
        <v>147500</v>
      </c>
      <c r="W118" s="6">
        <v>1.64</v>
      </c>
      <c r="X118" s="8">
        <f t="shared" si="12"/>
        <v>0.14346522450406454</v>
      </c>
      <c r="Y118" s="9">
        <f t="shared" si="13"/>
        <v>-0.1222775495935462</v>
      </c>
      <c r="Z118" s="8">
        <f t="shared" si="14"/>
        <v>1</v>
      </c>
      <c r="AA118" s="8">
        <f t="shared" si="15"/>
        <v>0.58931508765947105</v>
      </c>
    </row>
    <row r="119" spans="1:27" ht="20.100000000000001" customHeight="1">
      <c r="A119" s="3">
        <v>2009</v>
      </c>
      <c r="B119" s="1" t="s">
        <v>58</v>
      </c>
      <c r="C119" s="1" t="s">
        <v>59</v>
      </c>
      <c r="D119" s="6">
        <v>36.840000000000003</v>
      </c>
      <c r="E119" s="6">
        <v>45992.04</v>
      </c>
      <c r="F119" s="6">
        <v>45992.04</v>
      </c>
      <c r="G119" s="6">
        <v>5497.87</v>
      </c>
      <c r="H119" s="6">
        <v>5.12</v>
      </c>
      <c r="I119" s="6">
        <v>1</v>
      </c>
      <c r="J119" s="6">
        <v>91570.7</v>
      </c>
      <c r="K119" s="6">
        <v>65523.51</v>
      </c>
      <c r="L119" s="6">
        <v>18026.64</v>
      </c>
      <c r="M119" s="6">
        <v>-1035.05</v>
      </c>
      <c r="N119" s="6">
        <v>1</v>
      </c>
      <c r="O119" s="6">
        <v>8.5152000000000001</v>
      </c>
      <c r="P119" s="6">
        <v>19.528300000000002</v>
      </c>
      <c r="Q119" s="6">
        <v>0.82820000000000005</v>
      </c>
      <c r="R119" s="6">
        <v>5.1862000000000004</v>
      </c>
      <c r="S119" s="6">
        <v>12.0558</v>
      </c>
      <c r="T119" s="6">
        <v>21.5535</v>
      </c>
      <c r="U119" s="6">
        <v>22.985099999999999</v>
      </c>
      <c r="V119" s="7">
        <v>144200</v>
      </c>
      <c r="W119" s="6">
        <v>-0.35549999999999998</v>
      </c>
      <c r="X119" s="8">
        <f t="shared" si="12"/>
        <v>0.11953959859140842</v>
      </c>
      <c r="Y119" s="9">
        <f t="shared" si="13"/>
        <v>-0.10184014085915827</v>
      </c>
      <c r="Z119" s="8">
        <f t="shared" si="14"/>
        <v>1</v>
      </c>
      <c r="AA119" s="8">
        <f t="shared" si="15"/>
        <v>1.4246706604012347</v>
      </c>
    </row>
    <row r="120" spans="1:27" ht="20.100000000000001" customHeight="1">
      <c r="A120" s="3">
        <v>2023</v>
      </c>
      <c r="B120" s="1" t="s">
        <v>60</v>
      </c>
      <c r="C120" s="1" t="s">
        <v>61</v>
      </c>
      <c r="D120" s="6">
        <v>1000.35</v>
      </c>
      <c r="E120" s="6">
        <v>26974</v>
      </c>
      <c r="F120" s="6">
        <v>15356</v>
      </c>
      <c r="G120" s="6">
        <v>4368</v>
      </c>
      <c r="H120" s="6">
        <v>1.74</v>
      </c>
      <c r="I120" s="6">
        <v>5768</v>
      </c>
      <c r="J120" s="6">
        <v>22101</v>
      </c>
      <c r="K120" s="6">
        <v>5641</v>
      </c>
      <c r="L120" s="6">
        <v>7375</v>
      </c>
      <c r="M120" s="6">
        <v>-11617</v>
      </c>
      <c r="N120" s="6">
        <v>3.5156000000000001</v>
      </c>
      <c r="O120" s="6">
        <v>0.49559999999999998</v>
      </c>
      <c r="P120" s="6">
        <v>19.7638</v>
      </c>
      <c r="Q120" s="6">
        <v>10.6066</v>
      </c>
      <c r="R120" s="6">
        <v>13.7341</v>
      </c>
      <c r="S120" s="6">
        <v>16.1934</v>
      </c>
      <c r="T120" s="6">
        <v>-1.6890000000000001</v>
      </c>
      <c r="U120" s="6">
        <v>27.209900000000001</v>
      </c>
      <c r="V120" s="7">
        <v>26196</v>
      </c>
      <c r="W120" s="6">
        <v>3.7</v>
      </c>
      <c r="X120" s="8">
        <f t="shared" si="12"/>
        <v>0.16193371394676356</v>
      </c>
      <c r="Y120" s="9">
        <f t="shared" si="13"/>
        <v>-2.8605323645791714E-5</v>
      </c>
      <c r="Z120" s="8">
        <f t="shared" si="14"/>
        <v>0.56928894490991322</v>
      </c>
      <c r="AA120" s="8">
        <f t="shared" si="15"/>
        <v>0.20912730777786015</v>
      </c>
    </row>
    <row r="121" spans="1:27" ht="20.100000000000001" customHeight="1">
      <c r="A121" s="3">
        <v>2022</v>
      </c>
      <c r="B121" s="1" t="s">
        <v>60</v>
      </c>
      <c r="C121" s="1" t="s">
        <v>61</v>
      </c>
      <c r="D121" s="6">
        <v>359.5</v>
      </c>
      <c r="E121" s="6">
        <v>26914</v>
      </c>
      <c r="F121" s="6">
        <v>17475</v>
      </c>
      <c r="G121" s="6">
        <v>9752</v>
      </c>
      <c r="H121" s="6">
        <v>3.85</v>
      </c>
      <c r="I121" s="6">
        <v>11215</v>
      </c>
      <c r="J121" s="6">
        <v>26612</v>
      </c>
      <c r="K121" s="6">
        <v>9108</v>
      </c>
      <c r="L121" s="6">
        <v>-9830</v>
      </c>
      <c r="M121" s="6">
        <v>1865</v>
      </c>
      <c r="N121" s="6">
        <v>6.6502999999999997</v>
      </c>
      <c r="O121" s="6">
        <v>0.4113</v>
      </c>
      <c r="P121" s="6">
        <v>36.645099999999999</v>
      </c>
      <c r="Q121" s="6">
        <v>22.069800000000001</v>
      </c>
      <c r="R121" s="6">
        <v>25.965199999999999</v>
      </c>
      <c r="S121" s="6">
        <v>36.233899999999998</v>
      </c>
      <c r="T121" s="6">
        <v>1.3378000000000001</v>
      </c>
      <c r="U121" s="6">
        <v>48.945999999999998</v>
      </c>
      <c r="V121" s="7">
        <v>22473</v>
      </c>
      <c r="W121" s="6">
        <v>8.0028000000000006</v>
      </c>
      <c r="X121" s="8">
        <f t="shared" si="12"/>
        <v>0.36233930296499961</v>
      </c>
      <c r="Y121" s="9">
        <f t="shared" si="13"/>
        <v>3.0296499964777013E-5</v>
      </c>
      <c r="Z121" s="8">
        <f t="shared" si="14"/>
        <v>0.64929033216913135</v>
      </c>
      <c r="AA121" s="8">
        <f t="shared" si="15"/>
        <v>0.3384112357880657</v>
      </c>
    </row>
    <row r="122" spans="1:27" ht="20.100000000000001" customHeight="1">
      <c r="A122" s="3">
        <v>2021</v>
      </c>
      <c r="B122" s="1" t="s">
        <v>60</v>
      </c>
      <c r="C122" s="1" t="s">
        <v>61</v>
      </c>
      <c r="D122" s="6">
        <v>735.86</v>
      </c>
      <c r="E122" s="6">
        <v>16675</v>
      </c>
      <c r="F122" s="6">
        <v>10396</v>
      </c>
      <c r="G122" s="6">
        <v>4332</v>
      </c>
      <c r="H122" s="6">
        <v>1.73</v>
      </c>
      <c r="I122" s="6">
        <v>5630</v>
      </c>
      <c r="J122" s="6">
        <v>16893</v>
      </c>
      <c r="K122" s="6">
        <v>5822</v>
      </c>
      <c r="L122" s="6">
        <v>-19675</v>
      </c>
      <c r="M122" s="6">
        <v>3804</v>
      </c>
      <c r="N122" s="6">
        <v>4.0903999999999998</v>
      </c>
      <c r="O122" s="6">
        <v>0.41220000000000001</v>
      </c>
      <c r="P122" s="6">
        <v>25.643799999999999</v>
      </c>
      <c r="Q122" s="6">
        <v>15.0464</v>
      </c>
      <c r="R122" s="6">
        <v>18.9526</v>
      </c>
      <c r="S122" s="6">
        <v>25.978999999999999</v>
      </c>
      <c r="T122" s="6">
        <v>0.1419</v>
      </c>
      <c r="U122" s="6">
        <v>43.480899999999998</v>
      </c>
      <c r="V122" s="7">
        <v>18975</v>
      </c>
      <c r="W122" s="6">
        <v>4.6978999999999997</v>
      </c>
      <c r="X122" s="8">
        <f t="shared" si="12"/>
        <v>0.25979010494752625</v>
      </c>
      <c r="Y122" s="9">
        <f t="shared" si="13"/>
        <v>1.0494752626044601E-5</v>
      </c>
      <c r="Z122" s="8">
        <f t="shared" si="14"/>
        <v>0.62344827586206897</v>
      </c>
      <c r="AA122" s="8">
        <f t="shared" si="15"/>
        <v>0.34914542728635684</v>
      </c>
    </row>
    <row r="123" spans="1:27" ht="20.100000000000001" customHeight="1">
      <c r="A123" s="3">
        <v>2020</v>
      </c>
      <c r="B123" s="1" t="s">
        <v>60</v>
      </c>
      <c r="C123" s="1" t="s">
        <v>61</v>
      </c>
      <c r="D123" s="6">
        <v>323.24</v>
      </c>
      <c r="E123" s="6">
        <v>10918</v>
      </c>
      <c r="F123" s="6">
        <v>6768</v>
      </c>
      <c r="G123" s="6">
        <v>2796</v>
      </c>
      <c r="H123" s="6">
        <v>1.1299999999999999</v>
      </c>
      <c r="I123" s="6">
        <v>3227</v>
      </c>
      <c r="J123" s="6">
        <v>12204</v>
      </c>
      <c r="K123" s="6">
        <v>4761</v>
      </c>
      <c r="L123" s="6">
        <v>6145</v>
      </c>
      <c r="M123" s="6">
        <v>-792</v>
      </c>
      <c r="N123" s="6">
        <v>7.6738</v>
      </c>
      <c r="O123" s="6">
        <v>0.16309999999999999</v>
      </c>
      <c r="P123" s="6">
        <v>22.910499999999999</v>
      </c>
      <c r="Q123" s="6">
        <v>16.1479</v>
      </c>
      <c r="R123" s="6">
        <v>19.697099999999999</v>
      </c>
      <c r="S123" s="6">
        <v>25.609100000000002</v>
      </c>
      <c r="T123" s="6">
        <v>0.47099999999999997</v>
      </c>
      <c r="U123" s="6">
        <v>24.235099999999999</v>
      </c>
      <c r="V123" s="7">
        <v>13775</v>
      </c>
      <c r="W123" s="6">
        <v>1.2336</v>
      </c>
      <c r="X123" s="8">
        <f t="shared" si="12"/>
        <v>0.25609085913170909</v>
      </c>
      <c r="Y123" s="9">
        <f t="shared" si="13"/>
        <v>-1.4086829093429287E-5</v>
      </c>
      <c r="Z123" s="8">
        <f t="shared" si="14"/>
        <v>0.61989375343469499</v>
      </c>
      <c r="AA123" s="8">
        <f t="shared" si="15"/>
        <v>0.43606887708371495</v>
      </c>
    </row>
    <row r="124" spans="1:27" ht="20.100000000000001" customHeight="1">
      <c r="A124" s="3">
        <v>2019</v>
      </c>
      <c r="B124" s="1" t="s">
        <v>60</v>
      </c>
      <c r="C124" s="1" t="s">
        <v>61</v>
      </c>
      <c r="D124" s="6">
        <v>144</v>
      </c>
      <c r="E124" s="6">
        <v>11716</v>
      </c>
      <c r="F124" s="6">
        <v>7171</v>
      </c>
      <c r="G124" s="6">
        <v>4141</v>
      </c>
      <c r="H124" s="6">
        <v>1.6575</v>
      </c>
      <c r="I124" s="6">
        <v>4066</v>
      </c>
      <c r="J124" s="6">
        <v>9342</v>
      </c>
      <c r="K124" s="6">
        <v>3743</v>
      </c>
      <c r="L124" s="6">
        <v>-4097</v>
      </c>
      <c r="M124" s="6">
        <v>-2866</v>
      </c>
      <c r="N124" s="6">
        <v>7.9436</v>
      </c>
      <c r="O124" s="6">
        <v>0.21279999999999999</v>
      </c>
      <c r="P124" s="6">
        <v>44.326700000000002</v>
      </c>
      <c r="Q124" s="6">
        <v>31.1541</v>
      </c>
      <c r="R124" s="6">
        <v>36.548999999999999</v>
      </c>
      <c r="S124" s="6">
        <v>35.344799999999999</v>
      </c>
      <c r="T124" s="6">
        <v>0.1057</v>
      </c>
      <c r="U124" s="6">
        <v>47.712899999999998</v>
      </c>
      <c r="V124" s="7">
        <v>13277</v>
      </c>
      <c r="W124" s="6">
        <v>1.8122</v>
      </c>
      <c r="X124" s="8">
        <f t="shared" si="12"/>
        <v>0.35344827586206895</v>
      </c>
      <c r="Y124" s="9">
        <f t="shared" si="13"/>
        <v>2.7586206897467491E-5</v>
      </c>
      <c r="Z124" s="8">
        <f t="shared" si="14"/>
        <v>0.61206896551724133</v>
      </c>
      <c r="AA124" s="8">
        <f t="shared" si="15"/>
        <v>0.31947763741891433</v>
      </c>
    </row>
    <row r="125" spans="1:27" ht="20.100000000000001" customHeight="1">
      <c r="A125" s="3">
        <v>2018</v>
      </c>
      <c r="B125" s="1" t="s">
        <v>60</v>
      </c>
      <c r="C125" s="1" t="s">
        <v>61</v>
      </c>
      <c r="D125" s="6">
        <v>81.44</v>
      </c>
      <c r="E125" s="6">
        <v>9714</v>
      </c>
      <c r="F125" s="6">
        <v>5822</v>
      </c>
      <c r="G125" s="6">
        <v>3047</v>
      </c>
      <c r="H125" s="6">
        <v>1.2050000000000001</v>
      </c>
      <c r="I125" s="6">
        <v>3409</v>
      </c>
      <c r="J125" s="6">
        <v>7471</v>
      </c>
      <c r="K125" s="6">
        <v>3502</v>
      </c>
      <c r="L125" s="6">
        <v>1278</v>
      </c>
      <c r="M125" s="6">
        <v>-2544</v>
      </c>
      <c r="N125" s="6">
        <v>8.0268999999999995</v>
      </c>
      <c r="O125" s="6">
        <v>0.26769999999999999</v>
      </c>
      <c r="P125" s="6">
        <v>40.784399999999998</v>
      </c>
      <c r="Q125" s="6">
        <v>27.106100000000001</v>
      </c>
      <c r="R125" s="6">
        <v>32.222900000000003</v>
      </c>
      <c r="S125" s="6">
        <v>31.367100000000001</v>
      </c>
      <c r="T125" s="6">
        <v>0.57250000000000001</v>
      </c>
      <c r="U125" s="6">
        <v>44.802199999999999</v>
      </c>
      <c r="V125" s="7">
        <v>11528</v>
      </c>
      <c r="W125" s="6">
        <v>2.4426000000000001</v>
      </c>
      <c r="X125" s="8">
        <f t="shared" si="12"/>
        <v>0.3136709903232448</v>
      </c>
      <c r="Y125" s="9">
        <f t="shared" si="13"/>
        <v>-9.6767552193455231E-7</v>
      </c>
      <c r="Z125" s="8">
        <f t="shared" si="14"/>
        <v>0.59934115709285563</v>
      </c>
      <c r="AA125" s="8">
        <f t="shared" si="15"/>
        <v>0.36051060325303685</v>
      </c>
    </row>
    <row r="126" spans="1:27" ht="20.100000000000001" customHeight="1">
      <c r="A126" s="3">
        <v>2017</v>
      </c>
      <c r="B126" s="1" t="s">
        <v>60</v>
      </c>
      <c r="C126" s="1" t="s">
        <v>61</v>
      </c>
      <c r="D126" s="6">
        <v>117.26</v>
      </c>
      <c r="E126" s="6">
        <v>6910</v>
      </c>
      <c r="F126" s="6">
        <v>4063</v>
      </c>
      <c r="G126" s="6">
        <v>1666</v>
      </c>
      <c r="H126" s="6">
        <v>0.64249999999999996</v>
      </c>
      <c r="I126" s="6">
        <v>2121</v>
      </c>
      <c r="J126" s="6">
        <v>5762</v>
      </c>
      <c r="K126" s="6">
        <v>1672</v>
      </c>
      <c r="L126" s="6">
        <v>-793</v>
      </c>
      <c r="M126" s="6">
        <v>291</v>
      </c>
      <c r="N126" s="6">
        <v>4.774</v>
      </c>
      <c r="O126" s="6">
        <v>0.48770000000000002</v>
      </c>
      <c r="P126" s="6">
        <v>28.913599999999999</v>
      </c>
      <c r="Q126" s="6">
        <v>16.929200000000002</v>
      </c>
      <c r="R126" s="6">
        <v>21.424900000000001</v>
      </c>
      <c r="S126" s="6">
        <v>24.11</v>
      </c>
      <c r="T126" s="6">
        <v>9.7500000000000003E-2</v>
      </c>
      <c r="U126" s="6">
        <v>33.055599999999998</v>
      </c>
      <c r="V126" s="7">
        <v>10299</v>
      </c>
      <c r="W126" s="6">
        <v>2.1301000000000001</v>
      </c>
      <c r="X126" s="8">
        <f t="shared" si="12"/>
        <v>0.24109985528219971</v>
      </c>
      <c r="Y126" s="9">
        <f t="shared" si="13"/>
        <v>-1.4471780026781289E-5</v>
      </c>
      <c r="Z126" s="8">
        <f t="shared" si="14"/>
        <v>0.58798842257597683</v>
      </c>
      <c r="AA126" s="8">
        <f t="shared" si="15"/>
        <v>0.24196816208393632</v>
      </c>
    </row>
    <row r="127" spans="1:27" ht="20.100000000000001" customHeight="1">
      <c r="A127" s="3">
        <v>2016</v>
      </c>
      <c r="B127" s="1" t="s">
        <v>60</v>
      </c>
      <c r="C127" s="1" t="s">
        <v>61</v>
      </c>
      <c r="D127" s="6">
        <v>57.53</v>
      </c>
      <c r="E127" s="6">
        <v>5010</v>
      </c>
      <c r="F127" s="6">
        <v>2811</v>
      </c>
      <c r="G127" s="6">
        <v>614</v>
      </c>
      <c r="H127" s="6">
        <v>0.27</v>
      </c>
      <c r="I127" s="6">
        <v>973</v>
      </c>
      <c r="J127" s="6">
        <v>4469</v>
      </c>
      <c r="K127" s="6">
        <v>1175</v>
      </c>
      <c r="L127" s="6">
        <v>-400</v>
      </c>
      <c r="M127" s="6">
        <v>-676</v>
      </c>
      <c r="N127" s="6">
        <v>2.5746000000000002</v>
      </c>
      <c r="O127" s="6">
        <v>0.33789999999999998</v>
      </c>
      <c r="P127" s="6">
        <v>13.739100000000001</v>
      </c>
      <c r="Q127" s="6">
        <v>8.3310999999999993</v>
      </c>
      <c r="R127" s="6">
        <v>13.4472</v>
      </c>
      <c r="S127" s="6">
        <v>12.2555</v>
      </c>
      <c r="T127" s="6">
        <v>0.124</v>
      </c>
      <c r="U127" s="6">
        <v>16.662099999999999</v>
      </c>
      <c r="V127" s="7">
        <v>9227</v>
      </c>
      <c r="W127" s="6">
        <v>1.2616000000000001</v>
      </c>
      <c r="X127" s="8">
        <f t="shared" si="12"/>
        <v>0.12255489021956088</v>
      </c>
      <c r="Y127" s="9">
        <f t="shared" si="13"/>
        <v>-1.0978043912146518E-5</v>
      </c>
      <c r="Z127" s="8">
        <f t="shared" si="14"/>
        <v>0.56107784431137719</v>
      </c>
      <c r="AA127" s="8">
        <f t="shared" si="15"/>
        <v>0.2345309381237525</v>
      </c>
    </row>
    <row r="128" spans="1:27" ht="20.100000000000001" customHeight="1">
      <c r="A128" s="3">
        <v>2015</v>
      </c>
      <c r="B128" s="1" t="s">
        <v>60</v>
      </c>
      <c r="C128" s="1" t="s">
        <v>61</v>
      </c>
      <c r="D128" s="6">
        <v>17.73</v>
      </c>
      <c r="E128" s="6">
        <v>4682</v>
      </c>
      <c r="F128" s="6">
        <v>2599</v>
      </c>
      <c r="G128" s="6">
        <v>631</v>
      </c>
      <c r="H128" s="6">
        <v>0.28000000000000003</v>
      </c>
      <c r="I128" s="6">
        <v>1007</v>
      </c>
      <c r="J128" s="6">
        <v>4418</v>
      </c>
      <c r="K128" s="6">
        <v>906</v>
      </c>
      <c r="L128" s="6">
        <v>-727</v>
      </c>
      <c r="M128" s="6">
        <v>-834</v>
      </c>
      <c r="N128" s="6">
        <v>6.3761000000000001</v>
      </c>
      <c r="O128" s="6">
        <v>0.31640000000000001</v>
      </c>
      <c r="P128" s="6">
        <v>14.282500000000001</v>
      </c>
      <c r="Q128" s="6">
        <v>8.7627000000000006</v>
      </c>
      <c r="R128" s="6">
        <v>10.849399999999999</v>
      </c>
      <c r="S128" s="6">
        <v>13.4772</v>
      </c>
      <c r="T128" s="6">
        <v>0.1033</v>
      </c>
      <c r="U128" s="6">
        <v>17.6356</v>
      </c>
      <c r="V128" s="7">
        <v>9228</v>
      </c>
      <c r="W128" s="6">
        <v>0.1186</v>
      </c>
      <c r="X128" s="8">
        <f t="shared" si="12"/>
        <v>0.13477146518581803</v>
      </c>
      <c r="Y128" s="9">
        <f t="shared" si="13"/>
        <v>-5.3481418197165453E-5</v>
      </c>
      <c r="Z128" s="8">
        <f t="shared" si="14"/>
        <v>0.55510465612985904</v>
      </c>
      <c r="AA128" s="8">
        <f t="shared" si="15"/>
        <v>0.19350704826997009</v>
      </c>
    </row>
    <row r="129" spans="1:27" ht="20.100000000000001" customHeight="1">
      <c r="A129" s="3">
        <v>2014</v>
      </c>
      <c r="B129" s="1" t="s">
        <v>60</v>
      </c>
      <c r="C129" s="1" t="s">
        <v>61</v>
      </c>
      <c r="D129" s="6">
        <v>10.9</v>
      </c>
      <c r="E129" s="6">
        <v>4130</v>
      </c>
      <c r="F129" s="6">
        <v>2268</v>
      </c>
      <c r="G129" s="6">
        <v>440</v>
      </c>
      <c r="H129" s="6">
        <v>0.185</v>
      </c>
      <c r="I129" s="6">
        <v>740</v>
      </c>
      <c r="J129" s="6">
        <v>4456.3980000000001</v>
      </c>
      <c r="K129" s="6">
        <v>835</v>
      </c>
      <c r="L129" s="6">
        <v>-806</v>
      </c>
      <c r="M129" s="6">
        <v>390</v>
      </c>
      <c r="N129" s="6">
        <v>5.9489999999999998</v>
      </c>
      <c r="O129" s="6">
        <v>0.30830000000000002</v>
      </c>
      <c r="P129" s="6">
        <v>9.8734000000000002</v>
      </c>
      <c r="Q129" s="6">
        <v>6.0682</v>
      </c>
      <c r="R129" s="6">
        <v>7.5468000000000002</v>
      </c>
      <c r="S129" s="6">
        <v>10.6538</v>
      </c>
      <c r="T129" s="6">
        <v>-2.2000000000000001E-3</v>
      </c>
      <c r="U129" s="6">
        <v>12.5099</v>
      </c>
      <c r="V129" s="7">
        <v>8808</v>
      </c>
      <c r="W129" s="6">
        <v>1.6222000000000001</v>
      </c>
      <c r="X129" s="8">
        <f t="shared" si="12"/>
        <v>0.10653753026634383</v>
      </c>
      <c r="Y129" s="9">
        <f t="shared" si="13"/>
        <v>-4.6973365616764795E-5</v>
      </c>
      <c r="Z129" s="8">
        <f t="shared" si="14"/>
        <v>0.54915254237288136</v>
      </c>
      <c r="AA129" s="8">
        <f t="shared" si="15"/>
        <v>0.20217917675544794</v>
      </c>
    </row>
    <row r="130" spans="1:27" ht="20.100000000000001" customHeight="1">
      <c r="A130" s="3">
        <v>2013</v>
      </c>
      <c r="B130" s="1" t="s">
        <v>60</v>
      </c>
      <c r="C130" s="1" t="s">
        <v>61</v>
      </c>
      <c r="D130" s="6">
        <v>9.11</v>
      </c>
      <c r="E130" s="6">
        <v>4280.1589999999997</v>
      </c>
      <c r="F130" s="6">
        <v>2226.3429999999998</v>
      </c>
      <c r="G130" s="6">
        <v>562.53599999999994</v>
      </c>
      <c r="H130" s="6">
        <v>0.22500000000000001</v>
      </c>
      <c r="I130" s="6">
        <v>874.4742</v>
      </c>
      <c r="J130" s="6">
        <v>4827.7030000000004</v>
      </c>
      <c r="K130" s="6">
        <v>824.17200000000003</v>
      </c>
      <c r="L130" s="6">
        <v>-743.99199999999996</v>
      </c>
      <c r="M130" s="6">
        <v>-15.27</v>
      </c>
      <c r="N130" s="6">
        <v>4.8916000000000004</v>
      </c>
      <c r="O130" s="6">
        <v>3.8999999999999998E-3</v>
      </c>
      <c r="P130" s="6">
        <v>11.6523</v>
      </c>
      <c r="Q130" s="6">
        <v>8.7728000000000002</v>
      </c>
      <c r="R130" s="6">
        <v>11.6066</v>
      </c>
      <c r="S130" s="6">
        <v>13.142899999999999</v>
      </c>
      <c r="T130" s="6">
        <v>-5.6099999999999997E-2</v>
      </c>
      <c r="U130" s="6">
        <v>14.519500000000001</v>
      </c>
      <c r="V130" s="7">
        <v>7974</v>
      </c>
      <c r="W130" s="6">
        <v>1.4648000000000001</v>
      </c>
      <c r="X130" s="8">
        <f t="shared" ref="X130:X162" si="16">G130/E130</f>
        <v>0.13142876234270737</v>
      </c>
      <c r="Y130" s="9">
        <f t="shared" ref="Y130:Y161" si="17">X130*100-S130</f>
        <v>-2.3765729261882029E-5</v>
      </c>
      <c r="Z130" s="8">
        <f t="shared" ref="Z130:Z162" si="18">F130/E130</f>
        <v>0.52015427464260089</v>
      </c>
      <c r="AA130" s="8">
        <f t="shared" ref="AA130:AA162" si="19">K130/E130</f>
        <v>0.1925563980216623</v>
      </c>
    </row>
    <row r="131" spans="1:27" ht="20.100000000000001" customHeight="1">
      <c r="A131" s="3">
        <v>2012</v>
      </c>
      <c r="B131" s="1" t="s">
        <v>60</v>
      </c>
      <c r="C131" s="1" t="s">
        <v>61</v>
      </c>
      <c r="D131" s="6">
        <v>7.66</v>
      </c>
      <c r="E131" s="6">
        <v>3997.93</v>
      </c>
      <c r="F131" s="6">
        <v>2056.5169999999998</v>
      </c>
      <c r="G131" s="6">
        <v>581.09</v>
      </c>
      <c r="H131" s="6">
        <v>0.23499999999999999</v>
      </c>
      <c r="I131" s="6">
        <v>852.50379999999996</v>
      </c>
      <c r="J131" s="6">
        <v>4145.7240000000002</v>
      </c>
      <c r="K131" s="6">
        <v>909.15599999999995</v>
      </c>
      <c r="L131" s="6">
        <v>-1143.364</v>
      </c>
      <c r="M131" s="6">
        <v>236.72300000000001</v>
      </c>
      <c r="N131" s="6">
        <v>4.1994999999999996</v>
      </c>
      <c r="O131" s="6">
        <v>5.1999999999999998E-3</v>
      </c>
      <c r="P131" s="6">
        <v>14.0166</v>
      </c>
      <c r="Q131" s="6">
        <v>10.464600000000001</v>
      </c>
      <c r="R131" s="6">
        <v>13.9445</v>
      </c>
      <c r="S131" s="6">
        <v>14.534800000000001</v>
      </c>
      <c r="T131" s="6">
        <v>6.7100000000000007E-2</v>
      </c>
      <c r="U131" s="6">
        <v>18.281600000000001</v>
      </c>
      <c r="V131" s="7">
        <v>7133</v>
      </c>
      <c r="W131" s="6">
        <v>2.0693000000000001</v>
      </c>
      <c r="X131" s="8">
        <f t="shared" si="16"/>
        <v>0.14534771744377717</v>
      </c>
      <c r="Y131" s="9">
        <f t="shared" si="17"/>
        <v>-2.825562228281342E-5</v>
      </c>
      <c r="Z131" s="8">
        <f t="shared" si="18"/>
        <v>0.51439544964519135</v>
      </c>
      <c r="AA131" s="8">
        <f t="shared" si="19"/>
        <v>0.22740668295843097</v>
      </c>
    </row>
    <row r="132" spans="1:27" ht="20.100000000000001" customHeight="1">
      <c r="A132" s="3">
        <v>2011</v>
      </c>
      <c r="B132" s="1" t="s">
        <v>60</v>
      </c>
      <c r="C132" s="1" t="s">
        <v>61</v>
      </c>
      <c r="D132" s="6">
        <v>8.4600000000000009</v>
      </c>
      <c r="E132" s="6">
        <v>3543.3090000000002</v>
      </c>
      <c r="F132" s="6">
        <v>1409.09</v>
      </c>
      <c r="G132" s="6">
        <v>253.14599999999999</v>
      </c>
      <c r="H132" s="6">
        <v>0.1075</v>
      </c>
      <c r="I132" s="6">
        <v>442.73610000000002</v>
      </c>
      <c r="J132" s="6">
        <v>3181.462</v>
      </c>
      <c r="K132" s="6">
        <v>675.79700000000003</v>
      </c>
      <c r="L132" s="6">
        <v>-649.678</v>
      </c>
      <c r="M132" s="6">
        <v>192.02099999999999</v>
      </c>
      <c r="N132" s="6">
        <v>3.4232</v>
      </c>
      <c r="O132" s="6">
        <v>7.4000000000000003E-3</v>
      </c>
      <c r="P132" s="6">
        <v>7.9569000000000001</v>
      </c>
      <c r="Q132" s="6">
        <v>5.6314000000000002</v>
      </c>
      <c r="R132" s="6">
        <v>7.8987999999999996</v>
      </c>
      <c r="S132" s="6">
        <v>7.1443000000000003</v>
      </c>
      <c r="T132" s="6">
        <v>5.8799999999999998E-2</v>
      </c>
      <c r="U132" s="6">
        <v>10.034000000000001</v>
      </c>
      <c r="V132" s="7">
        <v>6029</v>
      </c>
      <c r="W132" s="6">
        <v>3.1568000000000001</v>
      </c>
      <c r="X132" s="8">
        <f t="shared" si="16"/>
        <v>7.1443388087237089E-2</v>
      </c>
      <c r="Y132" s="9">
        <f t="shared" si="17"/>
        <v>3.8808723708427806E-5</v>
      </c>
      <c r="Z132" s="8">
        <f t="shared" si="18"/>
        <v>0.39767629636591101</v>
      </c>
      <c r="AA132" s="8">
        <f t="shared" si="19"/>
        <v>0.19072482811970393</v>
      </c>
    </row>
    <row r="133" spans="1:27" ht="20.100000000000001" customHeight="1">
      <c r="A133" s="3">
        <v>2010</v>
      </c>
      <c r="B133" s="1" t="s">
        <v>60</v>
      </c>
      <c r="C133" s="1" t="s">
        <v>61</v>
      </c>
      <c r="D133" s="6">
        <v>8.9499999999999993</v>
      </c>
      <c r="E133" s="6">
        <v>3326.4450000000002</v>
      </c>
      <c r="F133" s="6">
        <v>1176.923</v>
      </c>
      <c r="G133" s="6">
        <v>-67.986999999999995</v>
      </c>
      <c r="H133" s="6">
        <v>-0.03</v>
      </c>
      <c r="I133" s="6">
        <v>97.718900000000005</v>
      </c>
      <c r="J133" s="6">
        <v>2665.14</v>
      </c>
      <c r="K133" s="6">
        <v>487.80700000000002</v>
      </c>
      <c r="L133" s="6">
        <v>-519.33299999999997</v>
      </c>
      <c r="M133" s="6">
        <v>61.058999999999997</v>
      </c>
      <c r="N133" s="6">
        <v>3.1627999999999998</v>
      </c>
      <c r="O133" s="6">
        <v>9.1999999999999998E-3</v>
      </c>
      <c r="P133" s="6">
        <v>-2.5510000000000002</v>
      </c>
      <c r="Q133" s="6">
        <v>-1.8958999999999999</v>
      </c>
      <c r="R133" s="6">
        <v>-2.5278</v>
      </c>
      <c r="S133" s="6">
        <v>-2.0438000000000001</v>
      </c>
      <c r="T133" s="6">
        <v>0.25879999999999997</v>
      </c>
      <c r="U133" s="6">
        <v>-3.1261000000000001</v>
      </c>
      <c r="V133" s="7">
        <v>5706</v>
      </c>
      <c r="W133" s="6">
        <v>1.64</v>
      </c>
      <c r="X133" s="8">
        <f t="shared" si="16"/>
        <v>-2.0438335820974041E-2</v>
      </c>
      <c r="Y133" s="9">
        <f t="shared" si="17"/>
        <v>-3.3582097404227795E-5</v>
      </c>
      <c r="Z133" s="8">
        <f t="shared" si="18"/>
        <v>0.35380804432359469</v>
      </c>
      <c r="AA133" s="8">
        <f t="shared" si="19"/>
        <v>0.14664514218632804</v>
      </c>
    </row>
    <row r="134" spans="1:27" ht="20.100000000000001" customHeight="1">
      <c r="A134" s="3">
        <v>2009</v>
      </c>
      <c r="B134" s="1" t="s">
        <v>60</v>
      </c>
      <c r="C134" s="1" t="s">
        <v>61</v>
      </c>
      <c r="D134" s="6">
        <v>10.37</v>
      </c>
      <c r="E134" s="6">
        <v>3424.8589999999999</v>
      </c>
      <c r="F134" s="6">
        <v>1174.269</v>
      </c>
      <c r="G134" s="6">
        <v>-30.041</v>
      </c>
      <c r="H134" s="6">
        <v>-1.2500000000000001E-2</v>
      </c>
      <c r="I134" s="6">
        <v>114.3228</v>
      </c>
      <c r="J134" s="6">
        <v>2394.652</v>
      </c>
      <c r="K134" s="6">
        <v>249.36</v>
      </c>
      <c r="L134" s="6">
        <v>-209.36699999999999</v>
      </c>
      <c r="M134" s="6">
        <v>-349.274</v>
      </c>
      <c r="N134" s="6">
        <v>2.7845</v>
      </c>
      <c r="O134" s="6">
        <v>1.0699999999999999E-2</v>
      </c>
      <c r="P134" s="6">
        <v>-1.2544999999999999</v>
      </c>
      <c r="Q134" s="6">
        <v>-0.89659999999999995</v>
      </c>
      <c r="R134" s="6">
        <v>-1.2412000000000001</v>
      </c>
      <c r="S134" s="6">
        <v>-0.87709999999999999</v>
      </c>
      <c r="T134" s="6">
        <v>-7.22E-2</v>
      </c>
      <c r="U134" s="6">
        <v>-1.5999000000000001</v>
      </c>
      <c r="V134" s="7">
        <v>5420</v>
      </c>
      <c r="W134" s="6">
        <v>-0.35549999999999998</v>
      </c>
      <c r="X134" s="8">
        <f t="shared" si="16"/>
        <v>-8.7714559927868571E-3</v>
      </c>
      <c r="Y134" s="9">
        <f t="shared" si="17"/>
        <v>-4.5599278685748423E-5</v>
      </c>
      <c r="Z134" s="8">
        <f t="shared" si="18"/>
        <v>0.34286637785672347</v>
      </c>
      <c r="AA134" s="8">
        <f t="shared" si="19"/>
        <v>7.2808836801748628E-2</v>
      </c>
    </row>
    <row r="135" spans="1:27" ht="20.100000000000001" customHeight="1">
      <c r="A135" s="3">
        <v>2022</v>
      </c>
      <c r="B135" s="1" t="s">
        <v>62</v>
      </c>
      <c r="C135" s="1" t="s">
        <v>61</v>
      </c>
      <c r="D135" s="6">
        <v>109.08</v>
      </c>
      <c r="E135" s="6">
        <v>63054</v>
      </c>
      <c r="F135" s="6">
        <v>26866</v>
      </c>
      <c r="G135" s="6">
        <v>8014</v>
      </c>
      <c r="H135" s="6">
        <v>1.94</v>
      </c>
      <c r="I135" s="6">
        <v>15369</v>
      </c>
      <c r="J135" s="6">
        <v>103286</v>
      </c>
      <c r="K135" s="6">
        <v>15433</v>
      </c>
      <c r="L135" s="6">
        <v>-10477</v>
      </c>
      <c r="M135" s="6">
        <v>1361</v>
      </c>
      <c r="N135" s="6">
        <v>1.5676000000000001</v>
      </c>
      <c r="O135" s="6">
        <v>0.40710000000000002</v>
      </c>
      <c r="P135" s="6">
        <v>7.7618999999999998</v>
      </c>
      <c r="Q135" s="6">
        <v>4.4024999999999999</v>
      </c>
      <c r="R135" s="6">
        <v>5.6870000000000003</v>
      </c>
      <c r="S135" s="6">
        <v>12.7097</v>
      </c>
      <c r="T135" s="6">
        <v>-4.5640000000000001</v>
      </c>
      <c r="U135" s="6">
        <v>11.506</v>
      </c>
      <c r="V135" s="7">
        <v>131900</v>
      </c>
      <c r="W135" s="6">
        <v>8.0028000000000006</v>
      </c>
      <c r="X135" s="8">
        <f t="shared" si="16"/>
        <v>0.1270974085704317</v>
      </c>
      <c r="Y135" s="9">
        <f t="shared" si="17"/>
        <v>4.0857043169140184E-5</v>
      </c>
      <c r="Z135" s="8">
        <f t="shared" si="18"/>
        <v>0.42607923367272499</v>
      </c>
      <c r="AA135" s="8">
        <f t="shared" si="19"/>
        <v>0.24475846100168111</v>
      </c>
    </row>
    <row r="136" spans="1:27" ht="20.100000000000001" customHeight="1">
      <c r="A136" s="3">
        <v>2021</v>
      </c>
      <c r="B136" s="1" t="s">
        <v>62</v>
      </c>
      <c r="C136" s="1" t="s">
        <v>61</v>
      </c>
      <c r="D136" s="6">
        <v>209.45</v>
      </c>
      <c r="E136" s="6">
        <v>79024</v>
      </c>
      <c r="F136" s="6">
        <v>43815</v>
      </c>
      <c r="G136" s="6">
        <v>19868</v>
      </c>
      <c r="H136" s="6">
        <v>4.8600000000000003</v>
      </c>
      <c r="I136" s="6">
        <v>31248</v>
      </c>
      <c r="J136" s="6">
        <v>95391</v>
      </c>
      <c r="K136" s="6">
        <v>29456</v>
      </c>
      <c r="L136" s="6">
        <v>-24449</v>
      </c>
      <c r="M136" s="6">
        <v>-6045</v>
      </c>
      <c r="N136" s="6">
        <v>2.1322999999999999</v>
      </c>
      <c r="O136" s="6">
        <v>0.39939999999999998</v>
      </c>
      <c r="P136" s="6">
        <v>20.827999999999999</v>
      </c>
      <c r="Q136" s="6">
        <v>11.797700000000001</v>
      </c>
      <c r="R136" s="6">
        <v>15.413399999999999</v>
      </c>
      <c r="S136" s="6">
        <v>25.1417</v>
      </c>
      <c r="T136" s="6">
        <v>-2.8277999999999999</v>
      </c>
      <c r="U136" s="6">
        <v>32.486400000000003</v>
      </c>
      <c r="V136" s="7">
        <v>121100</v>
      </c>
      <c r="W136" s="6">
        <v>4.6978999999999997</v>
      </c>
      <c r="X136" s="8">
        <f t="shared" si="16"/>
        <v>0.25141729094958493</v>
      </c>
      <c r="Y136" s="9">
        <f t="shared" si="17"/>
        <v>2.9094958492237311E-5</v>
      </c>
      <c r="Z136" s="8">
        <f t="shared" si="18"/>
        <v>0.5544518121077141</v>
      </c>
      <c r="AA136" s="8">
        <f t="shared" si="19"/>
        <v>0.37274751974083825</v>
      </c>
    </row>
    <row r="137" spans="1:27" ht="20.100000000000001" customHeight="1">
      <c r="A137" s="3">
        <v>2020</v>
      </c>
      <c r="B137" s="1" t="s">
        <v>62</v>
      </c>
      <c r="C137" s="1" t="s">
        <v>61</v>
      </c>
      <c r="D137" s="6">
        <v>104.16</v>
      </c>
      <c r="E137" s="6">
        <v>77867</v>
      </c>
      <c r="F137" s="6">
        <v>43612</v>
      </c>
      <c r="G137" s="6">
        <v>20899</v>
      </c>
      <c r="H137" s="6">
        <v>4.9400000000000004</v>
      </c>
      <c r="I137" s="6">
        <v>35917</v>
      </c>
      <c r="J137" s="6">
        <v>81038</v>
      </c>
      <c r="K137" s="6">
        <v>35864</v>
      </c>
      <c r="L137" s="6">
        <v>-21524</v>
      </c>
      <c r="M137" s="6">
        <v>-12669</v>
      </c>
      <c r="N137" s="6">
        <v>1.9087000000000001</v>
      </c>
      <c r="O137" s="6">
        <v>0.44919999999999999</v>
      </c>
      <c r="P137" s="6">
        <v>25.789100000000001</v>
      </c>
      <c r="Q137" s="6">
        <v>13.651400000000001</v>
      </c>
      <c r="R137" s="6">
        <v>18.183299999999999</v>
      </c>
      <c r="S137" s="6">
        <v>26.839400000000001</v>
      </c>
      <c r="T137" s="6">
        <v>1.2739</v>
      </c>
      <c r="U137" s="6">
        <v>46.4</v>
      </c>
      <c r="V137" s="7">
        <v>110600</v>
      </c>
      <c r="W137" s="6">
        <v>1.2336</v>
      </c>
      <c r="X137" s="8">
        <f t="shared" si="16"/>
        <v>0.26839354283586114</v>
      </c>
      <c r="Y137" s="9">
        <f t="shared" si="17"/>
        <v>-4.5716413886509599E-5</v>
      </c>
      <c r="Z137" s="8">
        <f t="shared" si="18"/>
        <v>0.5600832188218372</v>
      </c>
      <c r="AA137" s="8">
        <f t="shared" si="19"/>
        <v>0.46058022011892075</v>
      </c>
    </row>
    <row r="138" spans="1:27" ht="20.100000000000001" customHeight="1">
      <c r="A138" s="3">
        <v>2019</v>
      </c>
      <c r="B138" s="1" t="s">
        <v>62</v>
      </c>
      <c r="C138" s="1" t="s">
        <v>61</v>
      </c>
      <c r="D138" s="6">
        <v>260.35000000000002</v>
      </c>
      <c r="E138" s="6">
        <v>71965</v>
      </c>
      <c r="F138" s="6">
        <v>42140</v>
      </c>
      <c r="G138" s="6">
        <v>21048</v>
      </c>
      <c r="H138" s="6">
        <v>4.71</v>
      </c>
      <c r="I138" s="6">
        <v>32861</v>
      </c>
      <c r="J138" s="6">
        <v>77504</v>
      </c>
      <c r="K138" s="6">
        <v>33145</v>
      </c>
      <c r="L138" s="6">
        <v>-14405</v>
      </c>
      <c r="M138" s="6">
        <v>-17565</v>
      </c>
      <c r="N138" s="6">
        <v>1.4001999999999999</v>
      </c>
      <c r="O138" s="6">
        <v>0.37419999999999998</v>
      </c>
      <c r="P138" s="6">
        <v>27.157299999999999</v>
      </c>
      <c r="Q138" s="6">
        <v>15.4171</v>
      </c>
      <c r="R138" s="6">
        <v>20.472300000000001</v>
      </c>
      <c r="S138" s="6">
        <v>29.247599999999998</v>
      </c>
      <c r="T138" s="6">
        <v>0.75390000000000001</v>
      </c>
      <c r="U138" s="6">
        <v>52.097700000000003</v>
      </c>
      <c r="V138" s="7">
        <v>110800</v>
      </c>
      <c r="W138" s="6">
        <v>1.8122</v>
      </c>
      <c r="X138" s="8">
        <f t="shared" si="16"/>
        <v>0.2924755089279511</v>
      </c>
      <c r="Y138" s="9">
        <f t="shared" si="17"/>
        <v>-4.910720488737752E-5</v>
      </c>
      <c r="Z138" s="8">
        <f t="shared" si="18"/>
        <v>0.5855624261793928</v>
      </c>
      <c r="AA138" s="8">
        <f t="shared" si="19"/>
        <v>0.46057111095671505</v>
      </c>
    </row>
    <row r="139" spans="1:27" ht="20.100000000000001" customHeight="1">
      <c r="A139" s="3">
        <v>2018</v>
      </c>
      <c r="B139" s="1" t="s">
        <v>62</v>
      </c>
      <c r="C139" s="1" t="s">
        <v>61</v>
      </c>
      <c r="D139" s="6">
        <v>214.19</v>
      </c>
      <c r="E139" s="6">
        <v>70848</v>
      </c>
      <c r="F139" s="6">
        <v>43737</v>
      </c>
      <c r="G139" s="6">
        <v>21053</v>
      </c>
      <c r="H139" s="6">
        <v>4.4800000000000004</v>
      </c>
      <c r="I139" s="6">
        <v>32401</v>
      </c>
      <c r="J139" s="6">
        <v>74563</v>
      </c>
      <c r="K139" s="6">
        <v>29432</v>
      </c>
      <c r="L139" s="6">
        <v>-11239</v>
      </c>
      <c r="M139" s="6">
        <v>-18607</v>
      </c>
      <c r="N139" s="6">
        <v>1.7314000000000001</v>
      </c>
      <c r="O139" s="6">
        <v>0.35349999999999998</v>
      </c>
      <c r="P139" s="6">
        <v>28.235199999999999</v>
      </c>
      <c r="Q139" s="6">
        <v>16.452400000000001</v>
      </c>
      <c r="R139" s="6">
        <v>21.124600000000001</v>
      </c>
      <c r="S139" s="6">
        <v>29.715699999999998</v>
      </c>
      <c r="T139" s="6">
        <v>0.89459999999999995</v>
      </c>
      <c r="U139" s="6">
        <v>55.092399999999998</v>
      </c>
      <c r="V139" s="7">
        <v>107400</v>
      </c>
      <c r="W139" s="6">
        <v>2.4426000000000001</v>
      </c>
      <c r="X139" s="8">
        <f t="shared" si="16"/>
        <v>0.29715729448961159</v>
      </c>
      <c r="Y139" s="9">
        <f t="shared" si="17"/>
        <v>2.9448961161193665E-5</v>
      </c>
      <c r="Z139" s="8">
        <f t="shared" si="18"/>
        <v>0.61733570460704612</v>
      </c>
      <c r="AA139" s="8">
        <f t="shared" si="19"/>
        <v>0.41542457091237578</v>
      </c>
    </row>
    <row r="140" spans="1:27" ht="20.100000000000001" customHeight="1">
      <c r="A140" s="3">
        <v>2017</v>
      </c>
      <c r="B140" s="1" t="s">
        <v>62</v>
      </c>
      <c r="C140" s="1" t="s">
        <v>61</v>
      </c>
      <c r="D140" s="6">
        <v>216.03</v>
      </c>
      <c r="E140" s="6">
        <v>62761</v>
      </c>
      <c r="F140" s="6">
        <v>39098</v>
      </c>
      <c r="G140" s="6">
        <v>9601</v>
      </c>
      <c r="H140" s="6">
        <v>1.99</v>
      </c>
      <c r="I140" s="6">
        <v>26179</v>
      </c>
      <c r="J140" s="6">
        <v>69019</v>
      </c>
      <c r="K140" s="6">
        <v>22110</v>
      </c>
      <c r="L140" s="6">
        <v>-15762</v>
      </c>
      <c r="M140" s="6">
        <v>-8475</v>
      </c>
      <c r="N140" s="6">
        <v>1.6934</v>
      </c>
      <c r="O140" s="6">
        <v>0.38850000000000001</v>
      </c>
      <c r="P140" s="6">
        <v>13.9107</v>
      </c>
      <c r="Q140" s="6">
        <v>7.7899000000000003</v>
      </c>
      <c r="R140" s="6">
        <v>10.207800000000001</v>
      </c>
      <c r="S140" s="6">
        <v>15.297700000000001</v>
      </c>
      <c r="T140" s="6">
        <v>-0.36220000000000002</v>
      </c>
      <c r="U140" s="6">
        <v>30.1113</v>
      </c>
      <c r="V140" s="7">
        <v>102700</v>
      </c>
      <c r="W140" s="6">
        <v>2.1301000000000001</v>
      </c>
      <c r="X140" s="8">
        <f t="shared" si="16"/>
        <v>0.15297716734914996</v>
      </c>
      <c r="Y140" s="9">
        <f t="shared" si="17"/>
        <v>1.6734914995097938E-5</v>
      </c>
      <c r="Z140" s="8">
        <f t="shared" si="18"/>
        <v>0.62296649192970155</v>
      </c>
      <c r="AA140" s="8">
        <f t="shared" si="19"/>
        <v>0.35228884179665715</v>
      </c>
    </row>
    <row r="141" spans="1:27" ht="20.100000000000001" customHeight="1">
      <c r="A141" s="3">
        <v>2016</v>
      </c>
      <c r="B141" s="1" t="s">
        <v>62</v>
      </c>
      <c r="C141" s="1" t="s">
        <v>61</v>
      </c>
      <c r="D141" s="6">
        <v>171.88</v>
      </c>
      <c r="E141" s="6">
        <v>59387</v>
      </c>
      <c r="F141" s="6">
        <v>36233</v>
      </c>
      <c r="G141" s="6">
        <v>10316</v>
      </c>
      <c r="H141" s="6">
        <v>2.12</v>
      </c>
      <c r="I141" s="6">
        <v>20923</v>
      </c>
      <c r="J141" s="6">
        <v>66226</v>
      </c>
      <c r="K141" s="6">
        <v>21808</v>
      </c>
      <c r="L141" s="6">
        <v>-25817</v>
      </c>
      <c r="M141" s="6">
        <v>-5739</v>
      </c>
      <c r="N141" s="6">
        <v>1.7490000000000001</v>
      </c>
      <c r="O141" s="6">
        <v>0.38179999999999997</v>
      </c>
      <c r="P141" s="6">
        <v>15.577</v>
      </c>
      <c r="Q141" s="6">
        <v>9.1029</v>
      </c>
      <c r="R141" s="6">
        <v>11.874499999999999</v>
      </c>
      <c r="S141" s="6">
        <v>17.370799999999999</v>
      </c>
      <c r="T141" s="6">
        <v>0.1101</v>
      </c>
      <c r="U141" s="6">
        <v>24.197199999999999</v>
      </c>
      <c r="V141" s="7">
        <v>106000</v>
      </c>
      <c r="W141" s="6">
        <v>1.2616000000000001</v>
      </c>
      <c r="X141" s="8">
        <f t="shared" si="16"/>
        <v>0.17370805058346103</v>
      </c>
      <c r="Y141" s="9">
        <f t="shared" si="17"/>
        <v>5.0583461046471712E-6</v>
      </c>
      <c r="Z141" s="8">
        <f t="shared" si="18"/>
        <v>0.6101166922053648</v>
      </c>
      <c r="AA141" s="8">
        <f t="shared" si="19"/>
        <v>0.36721841480458689</v>
      </c>
    </row>
    <row r="142" spans="1:27" ht="20.100000000000001" customHeight="1">
      <c r="A142" s="3">
        <v>2015</v>
      </c>
      <c r="B142" s="1" t="s">
        <v>62</v>
      </c>
      <c r="C142" s="1" t="s">
        <v>61</v>
      </c>
      <c r="D142" s="6">
        <v>162.57</v>
      </c>
      <c r="E142" s="6">
        <v>55355</v>
      </c>
      <c r="F142" s="6">
        <v>34679</v>
      </c>
      <c r="G142" s="6">
        <v>11420</v>
      </c>
      <c r="H142" s="6">
        <v>2.33</v>
      </c>
      <c r="I142" s="6">
        <v>22713</v>
      </c>
      <c r="J142" s="6">
        <v>61085</v>
      </c>
      <c r="K142" s="6">
        <v>19018</v>
      </c>
      <c r="L142" s="6">
        <v>-8183</v>
      </c>
      <c r="M142" s="6">
        <v>1912</v>
      </c>
      <c r="N142" s="6">
        <v>2.4491999999999998</v>
      </c>
      <c r="O142" s="6">
        <v>0.37109999999999999</v>
      </c>
      <c r="P142" s="6">
        <v>18.6953</v>
      </c>
      <c r="Q142" s="6">
        <v>11.255800000000001</v>
      </c>
      <c r="R142" s="6">
        <v>14.0777</v>
      </c>
      <c r="S142" s="6">
        <v>20.630500000000001</v>
      </c>
      <c r="T142" s="6">
        <v>0.34920000000000001</v>
      </c>
      <c r="U142" s="6">
        <v>24.9236</v>
      </c>
      <c r="V142" s="7">
        <v>107300</v>
      </c>
      <c r="W142" s="6">
        <v>0.1186</v>
      </c>
      <c r="X142" s="8">
        <f t="shared" si="16"/>
        <v>0.20630476018426519</v>
      </c>
      <c r="Y142" s="9">
        <f t="shared" si="17"/>
        <v>-2.3981573480824636E-5</v>
      </c>
      <c r="Z142" s="8">
        <f t="shared" si="18"/>
        <v>0.62648360581699936</v>
      </c>
      <c r="AA142" s="8">
        <f t="shared" si="19"/>
        <v>0.34356426700388404</v>
      </c>
    </row>
    <row r="143" spans="1:27" ht="20.100000000000001" customHeight="1">
      <c r="A143" s="3">
        <v>2014</v>
      </c>
      <c r="B143" s="1" t="s">
        <v>62</v>
      </c>
      <c r="C143" s="1" t="s">
        <v>61</v>
      </c>
      <c r="D143" s="6">
        <v>175.46</v>
      </c>
      <c r="E143" s="6">
        <v>55870</v>
      </c>
      <c r="F143" s="6">
        <v>35609</v>
      </c>
      <c r="G143" s="6">
        <v>11704</v>
      </c>
      <c r="H143" s="6">
        <v>2.31</v>
      </c>
      <c r="I143" s="6">
        <v>23896</v>
      </c>
      <c r="J143" s="6">
        <v>55865</v>
      </c>
      <c r="K143" s="6">
        <v>20418</v>
      </c>
      <c r="L143" s="6">
        <v>-9905</v>
      </c>
      <c r="M143" s="6">
        <v>-13611</v>
      </c>
      <c r="N143" s="6">
        <v>1.7319</v>
      </c>
      <c r="O143" s="6">
        <v>0.24440000000000001</v>
      </c>
      <c r="P143" s="6">
        <v>20.950500000000002</v>
      </c>
      <c r="Q143" s="6">
        <v>12.7356</v>
      </c>
      <c r="R143" s="6">
        <v>17.231000000000002</v>
      </c>
      <c r="S143" s="6">
        <v>20.948599999999999</v>
      </c>
      <c r="T143" s="6">
        <v>6.5100000000000005E-2</v>
      </c>
      <c r="U143" s="6">
        <v>28.857399999999998</v>
      </c>
      <c r="V143" s="7">
        <v>106700</v>
      </c>
      <c r="W143" s="6">
        <v>1.6222000000000001</v>
      </c>
      <c r="X143" s="8">
        <f t="shared" si="16"/>
        <v>0.20948630749955252</v>
      </c>
      <c r="Y143" s="9">
        <f t="shared" si="17"/>
        <v>3.074995525409463E-5</v>
      </c>
      <c r="Z143" s="8">
        <f t="shared" si="18"/>
        <v>0.6373545731161625</v>
      </c>
      <c r="AA143" s="8">
        <f t="shared" si="19"/>
        <v>0.36545552174691248</v>
      </c>
    </row>
    <row r="144" spans="1:27" ht="20.100000000000001" customHeight="1">
      <c r="A144" s="3">
        <v>2013</v>
      </c>
      <c r="B144" s="1" t="s">
        <v>62</v>
      </c>
      <c r="C144" s="1" t="s">
        <v>61</v>
      </c>
      <c r="D144" s="6">
        <v>129.02000000000001</v>
      </c>
      <c r="E144" s="6">
        <v>52708</v>
      </c>
      <c r="F144" s="6">
        <v>31521</v>
      </c>
      <c r="G144" s="6">
        <v>9620</v>
      </c>
      <c r="H144" s="6">
        <v>1.89</v>
      </c>
      <c r="I144" s="6">
        <v>20323</v>
      </c>
      <c r="J144" s="6">
        <v>58256</v>
      </c>
      <c r="K144" s="6">
        <v>20776</v>
      </c>
      <c r="L144" s="6">
        <v>-18073</v>
      </c>
      <c r="M144" s="6">
        <v>-5498</v>
      </c>
      <c r="N144" s="6">
        <v>2.3647</v>
      </c>
      <c r="O144" s="6">
        <v>0.23080000000000001</v>
      </c>
      <c r="P144" s="6">
        <v>16.513300000000001</v>
      </c>
      <c r="Q144" s="6">
        <v>10.416</v>
      </c>
      <c r="R144" s="6">
        <v>13.4694</v>
      </c>
      <c r="S144" s="6">
        <v>18.2515</v>
      </c>
      <c r="T144" s="6">
        <v>0.45200000000000001</v>
      </c>
      <c r="U144" s="6">
        <v>22.585899999999999</v>
      </c>
      <c r="V144" s="7">
        <v>107600</v>
      </c>
      <c r="W144" s="6">
        <v>1.4648000000000001</v>
      </c>
      <c r="X144" s="8">
        <f t="shared" si="16"/>
        <v>0.18251498823707976</v>
      </c>
      <c r="Y144" s="9">
        <f t="shared" si="17"/>
        <v>-1.1762920237856633E-6</v>
      </c>
      <c r="Z144" s="8">
        <f t="shared" si="18"/>
        <v>0.5980306594824315</v>
      </c>
      <c r="AA144" s="8">
        <f t="shared" si="19"/>
        <v>0.39417166274569326</v>
      </c>
    </row>
    <row r="145" spans="1:27" ht="20.100000000000001" customHeight="1">
      <c r="A145" s="3">
        <v>2012</v>
      </c>
      <c r="B145" s="1" t="s">
        <v>62</v>
      </c>
      <c r="C145" s="1" t="s">
        <v>61</v>
      </c>
      <c r="D145" s="6">
        <v>102.61</v>
      </c>
      <c r="E145" s="6">
        <v>53341</v>
      </c>
      <c r="F145" s="6">
        <v>33151</v>
      </c>
      <c r="G145" s="6">
        <v>11005</v>
      </c>
      <c r="H145" s="6">
        <v>2.13</v>
      </c>
      <c r="I145" s="6">
        <v>22160</v>
      </c>
      <c r="J145" s="6">
        <v>51203</v>
      </c>
      <c r="K145" s="6">
        <v>18884</v>
      </c>
      <c r="L145" s="6">
        <v>-14060</v>
      </c>
      <c r="M145" s="6">
        <v>-1408</v>
      </c>
      <c r="N145" s="6">
        <v>2.4312</v>
      </c>
      <c r="O145" s="6">
        <v>0.2626</v>
      </c>
      <c r="P145" s="6">
        <v>21.492899999999999</v>
      </c>
      <c r="Q145" s="6">
        <v>13.0467</v>
      </c>
      <c r="R145" s="6">
        <v>17.104700000000001</v>
      </c>
      <c r="S145" s="6">
        <v>20.631399999999999</v>
      </c>
      <c r="T145" s="6">
        <v>-0.36220000000000002</v>
      </c>
      <c r="U145" s="6">
        <v>31.212800000000001</v>
      </c>
      <c r="V145" s="7">
        <v>105000</v>
      </c>
      <c r="W145" s="6">
        <v>2.0693000000000001</v>
      </c>
      <c r="X145" s="8">
        <f t="shared" si="16"/>
        <v>0.20631409234922479</v>
      </c>
      <c r="Y145" s="9">
        <f t="shared" si="17"/>
        <v>9.2349224800614138E-6</v>
      </c>
      <c r="Z145" s="8">
        <f t="shared" si="18"/>
        <v>0.62149191053786024</v>
      </c>
      <c r="AA145" s="8">
        <f t="shared" si="19"/>
        <v>0.3540241090343263</v>
      </c>
    </row>
    <row r="146" spans="1:27" ht="20.100000000000001" customHeight="1">
      <c r="A146" s="3">
        <v>2011</v>
      </c>
      <c r="B146" s="1" t="s">
        <v>62</v>
      </c>
      <c r="C146" s="1" t="s">
        <v>61</v>
      </c>
      <c r="D146" s="6">
        <v>123.48</v>
      </c>
      <c r="E146" s="6">
        <v>53999</v>
      </c>
      <c r="F146" s="6">
        <v>33757</v>
      </c>
      <c r="G146" s="6">
        <v>12942</v>
      </c>
      <c r="H146" s="6">
        <v>2.39</v>
      </c>
      <c r="I146" s="6">
        <v>23541</v>
      </c>
      <c r="J146" s="6">
        <v>45911</v>
      </c>
      <c r="K146" s="6">
        <v>20963</v>
      </c>
      <c r="L146" s="6">
        <v>-10301</v>
      </c>
      <c r="M146" s="6">
        <v>-11100</v>
      </c>
      <c r="N146" s="6">
        <v>2.1509999999999998</v>
      </c>
      <c r="O146" s="6">
        <v>0.15970000000000001</v>
      </c>
      <c r="P146" s="6">
        <v>28.189299999999999</v>
      </c>
      <c r="Q146" s="6">
        <v>18.197700000000001</v>
      </c>
      <c r="R146" s="6">
        <v>24.421199999999999</v>
      </c>
      <c r="S146" s="6">
        <v>23.967099999999999</v>
      </c>
      <c r="T146" s="6">
        <v>-0.13139999999999999</v>
      </c>
      <c r="U146" s="6">
        <v>42.586399999999998</v>
      </c>
      <c r="V146" s="7">
        <v>100100</v>
      </c>
      <c r="W146" s="6">
        <v>3.1568000000000001</v>
      </c>
      <c r="X146" s="8">
        <f t="shared" si="16"/>
        <v>0.23967110502046335</v>
      </c>
      <c r="Y146" s="9">
        <f t="shared" si="17"/>
        <v>1.0502046336569038E-5</v>
      </c>
      <c r="Z146" s="8">
        <f t="shared" si="18"/>
        <v>0.62514120631863557</v>
      </c>
      <c r="AA146" s="8">
        <f t="shared" si="19"/>
        <v>0.38821089279431098</v>
      </c>
    </row>
    <row r="147" spans="1:27" ht="20.100000000000001" customHeight="1">
      <c r="A147" s="3">
        <v>2010</v>
      </c>
      <c r="B147" s="1" t="s">
        <v>62</v>
      </c>
      <c r="C147" s="1" t="s">
        <v>61</v>
      </c>
      <c r="D147" s="6">
        <v>117.31</v>
      </c>
      <c r="E147" s="6">
        <v>43623</v>
      </c>
      <c r="F147" s="6">
        <v>28491</v>
      </c>
      <c r="G147" s="6">
        <v>11464</v>
      </c>
      <c r="H147" s="6">
        <v>2.0099999999999998</v>
      </c>
      <c r="I147" s="6">
        <v>20226</v>
      </c>
      <c r="J147" s="6">
        <v>49430</v>
      </c>
      <c r="K147" s="6">
        <v>16692</v>
      </c>
      <c r="L147" s="6">
        <v>-10539</v>
      </c>
      <c r="M147" s="6">
        <v>-4642</v>
      </c>
      <c r="N147" s="6">
        <v>3.3892000000000002</v>
      </c>
      <c r="O147" s="6">
        <v>4.2799999999999998E-2</v>
      </c>
      <c r="P147" s="6">
        <v>23.192399999999999</v>
      </c>
      <c r="Q147" s="6">
        <v>18.1433</v>
      </c>
      <c r="R147" s="6">
        <v>22.257200000000001</v>
      </c>
      <c r="S147" s="6">
        <v>26.279699999999998</v>
      </c>
      <c r="T147" s="6">
        <v>0.83740000000000003</v>
      </c>
      <c r="U147" s="6">
        <v>26.031500000000001</v>
      </c>
      <c r="V147" s="7">
        <v>82500</v>
      </c>
      <c r="W147" s="6">
        <v>1.64</v>
      </c>
      <c r="X147" s="8">
        <f t="shared" si="16"/>
        <v>0.26279714829333151</v>
      </c>
      <c r="Y147" s="9">
        <f t="shared" si="17"/>
        <v>1.4829333153443258E-5</v>
      </c>
      <c r="Z147" s="8">
        <f t="shared" si="18"/>
        <v>0.65311876762258436</v>
      </c>
      <c r="AA147" s="8">
        <f t="shared" si="19"/>
        <v>0.38264218416890172</v>
      </c>
    </row>
    <row r="148" spans="1:27" ht="20.100000000000001" customHeight="1">
      <c r="A148" s="3">
        <v>2009</v>
      </c>
      <c r="B148" s="1" t="s">
        <v>62</v>
      </c>
      <c r="C148" s="1" t="s">
        <v>61</v>
      </c>
      <c r="D148" s="6">
        <v>112.65</v>
      </c>
      <c r="E148" s="6">
        <v>35127</v>
      </c>
      <c r="F148" s="6">
        <v>19561</v>
      </c>
      <c r="G148" s="6">
        <v>4369</v>
      </c>
      <c r="H148" s="6">
        <v>0.77</v>
      </c>
      <c r="I148" s="6">
        <v>10763</v>
      </c>
      <c r="J148" s="6">
        <v>41704</v>
      </c>
      <c r="K148" s="6">
        <v>11170</v>
      </c>
      <c r="L148" s="6">
        <v>-7965</v>
      </c>
      <c r="M148" s="6">
        <v>-2568</v>
      </c>
      <c r="N148" s="6">
        <v>2.7871000000000001</v>
      </c>
      <c r="O148" s="6">
        <v>5.33E-2</v>
      </c>
      <c r="P148" s="6">
        <v>10.4762</v>
      </c>
      <c r="Q148" s="6">
        <v>8.2286000000000001</v>
      </c>
      <c r="R148" s="6">
        <v>9.9855999999999998</v>
      </c>
      <c r="S148" s="6">
        <v>12.4377</v>
      </c>
      <c r="T148" s="6">
        <v>1.1789000000000001</v>
      </c>
      <c r="U148" s="6">
        <v>11.718500000000001</v>
      </c>
      <c r="V148" s="7">
        <v>79800</v>
      </c>
      <c r="W148" s="6">
        <v>-0.35549999999999998</v>
      </c>
      <c r="X148" s="8">
        <f t="shared" si="16"/>
        <v>0.12437725965781307</v>
      </c>
      <c r="Y148" s="9">
        <f t="shared" si="17"/>
        <v>2.5965781308201485E-5</v>
      </c>
      <c r="Z148" s="8">
        <f t="shared" si="18"/>
        <v>0.55686508953226865</v>
      </c>
      <c r="AA148" s="8">
        <f t="shared" si="19"/>
        <v>0.31798901130184759</v>
      </c>
    </row>
    <row r="149" spans="1:27" ht="20.100000000000001" customHeight="1">
      <c r="A149" s="3">
        <v>2022</v>
      </c>
      <c r="B149" s="1" t="s">
        <v>63</v>
      </c>
      <c r="C149" s="1" t="s">
        <v>64</v>
      </c>
      <c r="D149" s="6">
        <v>856.94</v>
      </c>
      <c r="E149" s="6">
        <v>513983</v>
      </c>
      <c r="F149" s="6">
        <v>225152</v>
      </c>
      <c r="G149" s="6">
        <v>-2722</v>
      </c>
      <c r="H149" s="6">
        <v>-0.27</v>
      </c>
      <c r="I149" s="6">
        <v>54169</v>
      </c>
      <c r="J149" s="6">
        <v>146043</v>
      </c>
      <c r="K149" s="6">
        <v>46752</v>
      </c>
      <c r="L149" s="6">
        <v>-37601</v>
      </c>
      <c r="M149" s="6">
        <v>9718</v>
      </c>
      <c r="N149" s="6">
        <v>0.9446</v>
      </c>
      <c r="O149" s="6">
        <v>0.45979999999999999</v>
      </c>
      <c r="P149" s="6">
        <v>-1.8637999999999999</v>
      </c>
      <c r="Q149" s="6">
        <v>-0.58830000000000005</v>
      </c>
      <c r="R149" s="6">
        <v>-1.2767999999999999</v>
      </c>
      <c r="S149" s="6">
        <v>-0.52959999999999996</v>
      </c>
      <c r="T149" s="6">
        <v>-0.25459999999999999</v>
      </c>
      <c r="U149" s="6">
        <v>-2.1644999999999999</v>
      </c>
      <c r="V149" s="7">
        <v>1541000</v>
      </c>
      <c r="W149" s="6">
        <v>8.0028000000000006</v>
      </c>
      <c r="X149" s="8">
        <f t="shared" si="16"/>
        <v>-5.2958950004183018E-3</v>
      </c>
      <c r="Y149" s="9">
        <f t="shared" si="17"/>
        <v>1.0499958169818413E-5</v>
      </c>
      <c r="Z149" s="8">
        <f t="shared" si="18"/>
        <v>0.43805339865326287</v>
      </c>
      <c r="AA149" s="8">
        <f t="shared" si="19"/>
        <v>9.0960206855090542E-2</v>
      </c>
    </row>
    <row r="150" spans="1:27" ht="20.100000000000001" customHeight="1">
      <c r="A150" s="3">
        <v>2021</v>
      </c>
      <c r="B150" s="1" t="s">
        <v>63</v>
      </c>
      <c r="C150" s="1" t="s">
        <v>64</v>
      </c>
      <c r="D150" s="6">
        <v>1691</v>
      </c>
      <c r="E150" s="6">
        <v>469822</v>
      </c>
      <c r="F150" s="6">
        <v>197478</v>
      </c>
      <c r="G150" s="6">
        <v>33364</v>
      </c>
      <c r="H150" s="6">
        <v>3.24</v>
      </c>
      <c r="I150" s="6">
        <v>59312</v>
      </c>
      <c r="J150" s="6">
        <v>138245</v>
      </c>
      <c r="K150" s="6">
        <v>46327</v>
      </c>
      <c r="L150" s="6">
        <v>-58154</v>
      </c>
      <c r="M150" s="6">
        <v>6291</v>
      </c>
      <c r="N150" s="6">
        <v>1.1357999999999999</v>
      </c>
      <c r="O150" s="6">
        <v>0.35260000000000002</v>
      </c>
      <c r="P150" s="6">
        <v>24.134</v>
      </c>
      <c r="Q150" s="6">
        <v>7.9333999999999998</v>
      </c>
      <c r="R150" s="6">
        <v>17.8428</v>
      </c>
      <c r="S150" s="6">
        <v>7.1013999999999999</v>
      </c>
      <c r="T150" s="6">
        <v>-3.9226000000000001</v>
      </c>
      <c r="U150" s="6">
        <v>27.152999999999999</v>
      </c>
      <c r="V150" s="7">
        <v>1608000</v>
      </c>
      <c r="W150" s="6">
        <v>4.6978999999999997</v>
      </c>
      <c r="X150" s="8">
        <f t="shared" si="16"/>
        <v>7.1014128755145567E-2</v>
      </c>
      <c r="Y150" s="9">
        <f t="shared" si="17"/>
        <v>1.2875514556753842E-5</v>
      </c>
      <c r="Z150" s="8">
        <f t="shared" si="18"/>
        <v>0.42032514441639601</v>
      </c>
      <c r="AA150" s="8">
        <f t="shared" si="19"/>
        <v>9.8605429290241839E-2</v>
      </c>
    </row>
    <row r="151" spans="1:27" ht="20.100000000000001" customHeight="1">
      <c r="A151" s="3">
        <v>2020</v>
      </c>
      <c r="B151" s="1" t="s">
        <v>63</v>
      </c>
      <c r="C151" s="1" t="s">
        <v>64</v>
      </c>
      <c r="D151" s="6">
        <v>1634.16</v>
      </c>
      <c r="E151" s="6">
        <v>386064</v>
      </c>
      <c r="F151" s="6">
        <v>152757</v>
      </c>
      <c r="G151" s="6">
        <v>21331</v>
      </c>
      <c r="H151" s="6">
        <v>2.09</v>
      </c>
      <c r="I151" s="6">
        <v>48079</v>
      </c>
      <c r="J151" s="6">
        <v>93404</v>
      </c>
      <c r="K151" s="6">
        <v>66064</v>
      </c>
      <c r="L151" s="6">
        <v>-59611</v>
      </c>
      <c r="M151" s="6">
        <v>-1104</v>
      </c>
      <c r="N151" s="6">
        <v>1.0502</v>
      </c>
      <c r="O151" s="6">
        <v>0.34060000000000001</v>
      </c>
      <c r="P151" s="6">
        <v>22.837399999999999</v>
      </c>
      <c r="Q151" s="6">
        <v>6.6410999999999998</v>
      </c>
      <c r="R151" s="6">
        <v>17.034800000000001</v>
      </c>
      <c r="S151" s="6">
        <v>5.5251999999999999</v>
      </c>
      <c r="T151" s="6">
        <v>0.4798</v>
      </c>
      <c r="U151" s="6">
        <v>27.212399999999999</v>
      </c>
      <c r="V151" s="7">
        <v>1298000</v>
      </c>
      <c r="W151" s="6">
        <v>1.2336</v>
      </c>
      <c r="X151" s="8">
        <f t="shared" si="16"/>
        <v>5.5252496995316841E-2</v>
      </c>
      <c r="Y151" s="9">
        <f t="shared" si="17"/>
        <v>4.9699531683877751E-5</v>
      </c>
      <c r="Z151" s="8">
        <f t="shared" si="18"/>
        <v>0.3956779186870571</v>
      </c>
      <c r="AA151" s="8">
        <f t="shared" si="19"/>
        <v>0.17112188652658628</v>
      </c>
    </row>
    <row r="152" spans="1:27" ht="20.100000000000001" customHeight="1">
      <c r="A152" s="3">
        <v>2019</v>
      </c>
      <c r="B152" s="1" t="s">
        <v>63</v>
      </c>
      <c r="C152" s="1" t="s">
        <v>64</v>
      </c>
      <c r="D152" s="6">
        <v>916.15</v>
      </c>
      <c r="E152" s="6">
        <v>280522</v>
      </c>
      <c r="F152" s="6">
        <v>114986</v>
      </c>
      <c r="G152" s="6">
        <v>11588</v>
      </c>
      <c r="H152" s="6">
        <v>1.1505000000000001</v>
      </c>
      <c r="I152" s="6">
        <v>36330</v>
      </c>
      <c r="J152" s="6">
        <v>62060</v>
      </c>
      <c r="K152" s="6">
        <v>38514</v>
      </c>
      <c r="L152" s="6">
        <v>-24281</v>
      </c>
      <c r="M152" s="6">
        <v>-10066</v>
      </c>
      <c r="N152" s="6">
        <v>1.097</v>
      </c>
      <c r="O152" s="6">
        <v>0.37730000000000002</v>
      </c>
      <c r="P152" s="6">
        <v>18.6723</v>
      </c>
      <c r="Q152" s="6">
        <v>5.1445999999999996</v>
      </c>
      <c r="R152" s="6">
        <v>13.5573</v>
      </c>
      <c r="S152" s="6">
        <v>4.1308999999999996</v>
      </c>
      <c r="T152" s="6">
        <v>0.622</v>
      </c>
      <c r="U152" s="6">
        <v>24.495799999999999</v>
      </c>
      <c r="V152" s="7">
        <v>798000</v>
      </c>
      <c r="W152" s="6">
        <v>1.8122</v>
      </c>
      <c r="X152" s="8">
        <f t="shared" si="16"/>
        <v>4.1308703060722513E-2</v>
      </c>
      <c r="Y152" s="9">
        <f t="shared" si="17"/>
        <v>-2.9693927748652982E-5</v>
      </c>
      <c r="Z152" s="8">
        <f t="shared" si="18"/>
        <v>0.40990011478600608</v>
      </c>
      <c r="AA152" s="8">
        <f t="shared" si="19"/>
        <v>0.13729404467385803</v>
      </c>
    </row>
    <row r="153" spans="1:27" ht="20.100000000000001" customHeight="1">
      <c r="A153" s="3">
        <v>2018</v>
      </c>
      <c r="B153" s="1" t="s">
        <v>63</v>
      </c>
      <c r="C153" s="1" t="s">
        <v>64</v>
      </c>
      <c r="D153" s="6">
        <v>734.42</v>
      </c>
      <c r="E153" s="6">
        <v>232887</v>
      </c>
      <c r="F153" s="6">
        <v>93731</v>
      </c>
      <c r="G153" s="6">
        <v>10073</v>
      </c>
      <c r="H153" s="6">
        <v>1.0069999999999999</v>
      </c>
      <c r="I153" s="6">
        <v>27762</v>
      </c>
      <c r="J153" s="6">
        <v>43549</v>
      </c>
      <c r="K153" s="6">
        <v>30723</v>
      </c>
      <c r="L153" s="6">
        <v>-12369</v>
      </c>
      <c r="M153" s="6">
        <v>-7686</v>
      </c>
      <c r="N153" s="6">
        <v>1.0981000000000001</v>
      </c>
      <c r="O153" s="6">
        <v>0.53949999999999998</v>
      </c>
      <c r="P153" s="6">
        <v>23.130299999999998</v>
      </c>
      <c r="Q153" s="6">
        <v>6.1931000000000003</v>
      </c>
      <c r="R153" s="6">
        <v>15.0245</v>
      </c>
      <c r="S153" s="6">
        <v>4.3253000000000004</v>
      </c>
      <c r="T153" s="6">
        <v>1.0974999999999999</v>
      </c>
      <c r="U153" s="6">
        <v>34.7333</v>
      </c>
      <c r="V153" s="7">
        <v>647500</v>
      </c>
      <c r="W153" s="6">
        <v>2.4426000000000001</v>
      </c>
      <c r="X153" s="8">
        <f t="shared" si="16"/>
        <v>4.3252736305590261E-2</v>
      </c>
      <c r="Y153" s="9">
        <f t="shared" si="17"/>
        <v>-2.6369440973894598E-5</v>
      </c>
      <c r="Z153" s="8">
        <f t="shared" si="18"/>
        <v>0.40247416128852193</v>
      </c>
      <c r="AA153" s="8">
        <f t="shared" si="19"/>
        <v>0.13192234860683508</v>
      </c>
    </row>
    <row r="154" spans="1:27" ht="20.100000000000001" customHeight="1">
      <c r="A154" s="3">
        <v>2017</v>
      </c>
      <c r="B154" s="1" t="s">
        <v>63</v>
      </c>
      <c r="C154" s="1" t="s">
        <v>64</v>
      </c>
      <c r="D154" s="6">
        <v>563.54</v>
      </c>
      <c r="E154" s="6">
        <v>177866</v>
      </c>
      <c r="F154" s="6">
        <v>65932</v>
      </c>
      <c r="G154" s="6">
        <v>3033</v>
      </c>
      <c r="H154" s="6">
        <v>0.3075</v>
      </c>
      <c r="I154" s="6">
        <v>15584</v>
      </c>
      <c r="J154" s="6">
        <v>27709</v>
      </c>
      <c r="K154" s="6">
        <v>18365</v>
      </c>
      <c r="L154" s="6">
        <v>-27084</v>
      </c>
      <c r="M154" s="6">
        <v>9928</v>
      </c>
      <c r="N154" s="6">
        <v>1.04</v>
      </c>
      <c r="O154" s="6">
        <v>0.89300000000000002</v>
      </c>
      <c r="P154" s="6">
        <v>10.9459</v>
      </c>
      <c r="Q154" s="6">
        <v>2.3098000000000001</v>
      </c>
      <c r="R154" s="6">
        <v>5.7824</v>
      </c>
      <c r="S154" s="6">
        <v>1.7052</v>
      </c>
      <c r="T154" s="6">
        <v>-0.2387</v>
      </c>
      <c r="U154" s="6">
        <v>21.122599999999998</v>
      </c>
      <c r="V154" s="7">
        <v>566000</v>
      </c>
      <c r="W154" s="6">
        <v>2.1301000000000001</v>
      </c>
      <c r="X154" s="8">
        <f t="shared" si="16"/>
        <v>1.7052162864178651E-2</v>
      </c>
      <c r="Y154" s="9">
        <f t="shared" si="17"/>
        <v>1.6286417864996849E-5</v>
      </c>
      <c r="Z154" s="8">
        <f t="shared" si="18"/>
        <v>0.3706835482891615</v>
      </c>
      <c r="AA154" s="8">
        <f t="shared" si="19"/>
        <v>0.10325188625144772</v>
      </c>
    </row>
    <row r="155" spans="1:27" ht="20.100000000000001" customHeight="1">
      <c r="A155" s="3">
        <v>2016</v>
      </c>
      <c r="B155" s="1" t="s">
        <v>63</v>
      </c>
      <c r="C155" s="1" t="s">
        <v>64</v>
      </c>
      <c r="D155" s="6">
        <v>356.31</v>
      </c>
      <c r="E155" s="6">
        <v>135987</v>
      </c>
      <c r="F155" s="6">
        <v>47722</v>
      </c>
      <c r="G155" s="6">
        <v>2371</v>
      </c>
      <c r="H155" s="6">
        <v>0.245</v>
      </c>
      <c r="I155" s="6">
        <v>12302</v>
      </c>
      <c r="J155" s="6">
        <v>19285</v>
      </c>
      <c r="K155" s="6">
        <v>17203</v>
      </c>
      <c r="L155" s="6">
        <v>-9516</v>
      </c>
      <c r="M155" s="6">
        <v>-3716</v>
      </c>
      <c r="N155" s="6">
        <v>1.0448</v>
      </c>
      <c r="O155" s="6">
        <v>0.39900000000000002</v>
      </c>
      <c r="P155" s="6">
        <v>12.294499999999999</v>
      </c>
      <c r="Q155" s="6">
        <v>2.8429000000000002</v>
      </c>
      <c r="R155" s="6">
        <v>8.7882999999999996</v>
      </c>
      <c r="S155" s="6">
        <v>1.7435</v>
      </c>
      <c r="T155" s="6">
        <v>0.30030000000000001</v>
      </c>
      <c r="U155" s="6">
        <v>15.2958</v>
      </c>
      <c r="V155" s="7">
        <v>341400</v>
      </c>
      <c r="W155" s="6">
        <v>1.2616000000000001</v>
      </c>
      <c r="X155" s="8">
        <f t="shared" si="16"/>
        <v>1.7435490157147373E-2</v>
      </c>
      <c r="Y155" s="9">
        <f t="shared" si="17"/>
        <v>4.9015714737254967E-5</v>
      </c>
      <c r="Z155" s="8">
        <f t="shared" si="18"/>
        <v>0.35093060366064405</v>
      </c>
      <c r="AA155" s="8">
        <f t="shared" si="19"/>
        <v>0.12650473942362137</v>
      </c>
    </row>
    <row r="156" spans="1:27" ht="20.100000000000001" customHeight="1">
      <c r="A156" s="3">
        <v>2015</v>
      </c>
      <c r="B156" s="1" t="s">
        <v>63</v>
      </c>
      <c r="C156" s="1" t="s">
        <v>64</v>
      </c>
      <c r="D156" s="6">
        <v>316.83</v>
      </c>
      <c r="E156" s="6">
        <v>107006</v>
      </c>
      <c r="F156" s="6">
        <v>35355</v>
      </c>
      <c r="G156" s="6">
        <v>596</v>
      </c>
      <c r="H156" s="6">
        <v>6.25E-2</v>
      </c>
      <c r="I156" s="6">
        <v>8514</v>
      </c>
      <c r="J156" s="6">
        <v>13384</v>
      </c>
      <c r="K156" s="6">
        <v>12039</v>
      </c>
      <c r="L156" s="6">
        <v>-6450</v>
      </c>
      <c r="M156" s="6">
        <v>-3882</v>
      </c>
      <c r="N156" s="6">
        <v>1.0536000000000001</v>
      </c>
      <c r="O156" s="6">
        <v>0.61470000000000002</v>
      </c>
      <c r="P156" s="6">
        <v>4.4531000000000001</v>
      </c>
      <c r="Q156" s="6">
        <v>0.92049999999999998</v>
      </c>
      <c r="R156" s="6">
        <v>2.7578999999999998</v>
      </c>
      <c r="S156" s="6">
        <v>0.55700000000000005</v>
      </c>
      <c r="T156" s="6">
        <v>0.56999999999999995</v>
      </c>
      <c r="U156" s="6">
        <v>6.1921999999999997</v>
      </c>
      <c r="V156" s="7">
        <v>230800</v>
      </c>
      <c r="W156" s="6">
        <v>0.1186</v>
      </c>
      <c r="X156" s="8">
        <f t="shared" si="16"/>
        <v>5.5697811337681999E-3</v>
      </c>
      <c r="Y156" s="9">
        <f t="shared" si="17"/>
        <v>-2.1886623180034093E-5</v>
      </c>
      <c r="Z156" s="8">
        <f t="shared" si="18"/>
        <v>0.33040203353083003</v>
      </c>
      <c r="AA156" s="8">
        <f t="shared" si="19"/>
        <v>0.11250770984804591</v>
      </c>
    </row>
    <row r="157" spans="1:27" ht="20.100000000000001" customHeight="1">
      <c r="A157" s="3">
        <v>2014</v>
      </c>
      <c r="B157" s="1" t="s">
        <v>63</v>
      </c>
      <c r="C157" s="1" t="s">
        <v>64</v>
      </c>
      <c r="D157" s="6">
        <v>143.69999999999999</v>
      </c>
      <c r="E157" s="6">
        <v>88988</v>
      </c>
      <c r="F157" s="6">
        <v>26236</v>
      </c>
      <c r="G157" s="6">
        <v>-241</v>
      </c>
      <c r="H157" s="6">
        <v>-2.5999999999999999E-2</v>
      </c>
      <c r="I157" s="6">
        <v>4924</v>
      </c>
      <c r="J157" s="6">
        <v>10741</v>
      </c>
      <c r="K157" s="6">
        <v>6842</v>
      </c>
      <c r="L157" s="6">
        <v>-5065</v>
      </c>
      <c r="M157" s="6">
        <v>4432</v>
      </c>
      <c r="N157" s="6">
        <v>1.1153</v>
      </c>
      <c r="O157" s="6">
        <v>0.76949999999999996</v>
      </c>
      <c r="P157" s="6">
        <v>-2.2437</v>
      </c>
      <c r="Q157" s="6">
        <v>-0.44219999999999998</v>
      </c>
      <c r="R157" s="6">
        <v>-1.268</v>
      </c>
      <c r="S157" s="6">
        <v>-0.27079999999999999</v>
      </c>
      <c r="T157" s="6">
        <v>-7.4999999999999997E-3</v>
      </c>
      <c r="U157" s="6">
        <v>-3.2471000000000001</v>
      </c>
      <c r="V157" s="7">
        <v>154100</v>
      </c>
      <c r="W157" s="6">
        <v>1.6222000000000001</v>
      </c>
      <c r="X157" s="8">
        <f t="shared" si="16"/>
        <v>-2.7082303231896437E-3</v>
      </c>
      <c r="Y157" s="9">
        <f t="shared" si="17"/>
        <v>-2.3032318964388843E-5</v>
      </c>
      <c r="Z157" s="8">
        <f t="shared" si="18"/>
        <v>0.29482626871038792</v>
      </c>
      <c r="AA157" s="8">
        <f t="shared" si="19"/>
        <v>7.6886771250056191E-2</v>
      </c>
    </row>
    <row r="158" spans="1:27" ht="20.100000000000001" customHeight="1">
      <c r="A158" s="3">
        <v>2013</v>
      </c>
      <c r="B158" s="1" t="s">
        <v>63</v>
      </c>
      <c r="C158" s="1" t="s">
        <v>64</v>
      </c>
      <c r="D158" s="6">
        <v>182.54</v>
      </c>
      <c r="E158" s="6">
        <v>74452</v>
      </c>
      <c r="F158" s="6">
        <v>20271</v>
      </c>
      <c r="G158" s="6">
        <v>274</v>
      </c>
      <c r="H158" s="6">
        <v>2.9499999999999998E-2</v>
      </c>
      <c r="I158" s="6">
        <v>3998</v>
      </c>
      <c r="J158" s="6">
        <v>9746</v>
      </c>
      <c r="K158" s="6">
        <v>5475</v>
      </c>
      <c r="L158" s="6">
        <v>-4276</v>
      </c>
      <c r="M158" s="6">
        <v>-539</v>
      </c>
      <c r="N158" s="6">
        <v>1.0716000000000001</v>
      </c>
      <c r="O158" s="6">
        <v>0.32740000000000002</v>
      </c>
      <c r="P158" s="6">
        <v>2.8113999999999999</v>
      </c>
      <c r="Q158" s="6">
        <v>0.68230000000000002</v>
      </c>
      <c r="R158" s="6">
        <v>2.1179999999999999</v>
      </c>
      <c r="S158" s="6">
        <v>0.36799999999999999</v>
      </c>
      <c r="T158" s="6">
        <v>0.17480000000000001</v>
      </c>
      <c r="U158" s="6">
        <v>3.8641000000000001</v>
      </c>
      <c r="V158" s="7">
        <v>117300</v>
      </c>
      <c r="W158" s="6">
        <v>1.4648000000000001</v>
      </c>
      <c r="X158" s="8">
        <f t="shared" si="16"/>
        <v>3.6802234997045076E-3</v>
      </c>
      <c r="Y158" s="9">
        <f t="shared" si="17"/>
        <v>2.2349970450752377E-5</v>
      </c>
      <c r="Z158" s="8">
        <f t="shared" si="18"/>
        <v>0.27226938161500025</v>
      </c>
      <c r="AA158" s="8">
        <f t="shared" si="19"/>
        <v>7.3537312630956864E-2</v>
      </c>
    </row>
    <row r="159" spans="1:27" ht="20.100000000000001" customHeight="1">
      <c r="A159" s="3">
        <v>2012</v>
      </c>
      <c r="B159" s="1" t="s">
        <v>63</v>
      </c>
      <c r="C159" s="1" t="s">
        <v>64</v>
      </c>
      <c r="D159" s="6">
        <v>113.63</v>
      </c>
      <c r="E159" s="6">
        <v>61093</v>
      </c>
      <c r="F159" s="6">
        <v>15122</v>
      </c>
      <c r="G159" s="6">
        <v>-39</v>
      </c>
      <c r="H159" s="6">
        <v>-4.4999999999999997E-3</v>
      </c>
      <c r="I159" s="6">
        <v>2835</v>
      </c>
      <c r="J159" s="6">
        <v>8192</v>
      </c>
      <c r="K159" s="6">
        <v>4180</v>
      </c>
      <c r="L159" s="6">
        <v>-3595</v>
      </c>
      <c r="M159" s="6">
        <v>2259</v>
      </c>
      <c r="N159" s="6">
        <v>1.1207</v>
      </c>
      <c r="O159" s="6">
        <v>0.3765</v>
      </c>
      <c r="P159" s="6">
        <v>-0.47610000000000002</v>
      </c>
      <c r="Q159" s="6">
        <v>-0.1198</v>
      </c>
      <c r="R159" s="6">
        <v>-0.34589999999999999</v>
      </c>
      <c r="S159" s="6">
        <v>-6.3799999999999996E-2</v>
      </c>
      <c r="T159" s="6">
        <v>-0.18329999999999999</v>
      </c>
      <c r="U159" s="6">
        <v>-0.6915</v>
      </c>
      <c r="V159" s="7">
        <v>88400</v>
      </c>
      <c r="W159" s="6">
        <v>2.0693000000000001</v>
      </c>
      <c r="X159" s="8">
        <f t="shared" si="16"/>
        <v>-6.3837100813513828E-4</v>
      </c>
      <c r="Y159" s="9">
        <f t="shared" si="17"/>
        <v>-3.7100813513837871E-5</v>
      </c>
      <c r="Z159" s="8">
        <f t="shared" si="18"/>
        <v>0.24752426628255284</v>
      </c>
      <c r="AA159" s="8">
        <f t="shared" si="19"/>
        <v>6.8420277282176353E-2</v>
      </c>
    </row>
    <row r="160" spans="1:27" ht="20.100000000000001" customHeight="1">
      <c r="A160" s="3">
        <v>2011</v>
      </c>
      <c r="B160" s="1" t="s">
        <v>63</v>
      </c>
      <c r="C160" s="1" t="s">
        <v>64</v>
      </c>
      <c r="D160" s="6">
        <v>78.72</v>
      </c>
      <c r="E160" s="6">
        <v>48077</v>
      </c>
      <c r="F160" s="6">
        <v>10789</v>
      </c>
      <c r="G160" s="6">
        <v>631</v>
      </c>
      <c r="H160" s="6">
        <v>6.8500000000000005E-2</v>
      </c>
      <c r="I160" s="6">
        <v>1945</v>
      </c>
      <c r="J160" s="6">
        <v>7757</v>
      </c>
      <c r="K160" s="6">
        <v>3903</v>
      </c>
      <c r="L160" s="6">
        <v>-1930</v>
      </c>
      <c r="M160" s="6">
        <v>-482</v>
      </c>
      <c r="N160" s="6">
        <v>1.1740999999999999</v>
      </c>
      <c r="O160" s="6">
        <v>3.2899999999999999E-2</v>
      </c>
      <c r="P160" s="6">
        <v>8.1346000000000007</v>
      </c>
      <c r="Q160" s="6">
        <v>2.4962</v>
      </c>
      <c r="R160" s="6">
        <v>7.8757000000000001</v>
      </c>
      <c r="S160" s="6">
        <v>1.3125</v>
      </c>
      <c r="T160" s="6">
        <v>-4.9000000000000002E-2</v>
      </c>
      <c r="U160" s="6">
        <v>10.8756</v>
      </c>
      <c r="V160" s="7">
        <v>56200</v>
      </c>
      <c r="W160" s="6">
        <v>3.1568000000000001</v>
      </c>
      <c r="X160" s="8">
        <f t="shared" si="16"/>
        <v>1.3124779000353599E-2</v>
      </c>
      <c r="Y160" s="9">
        <f t="shared" si="17"/>
        <v>-2.2099964640087677E-5</v>
      </c>
      <c r="Z160" s="8">
        <f t="shared" si="18"/>
        <v>0.22441084094265448</v>
      </c>
      <c r="AA160" s="8">
        <f t="shared" si="19"/>
        <v>8.1182270108367829E-2</v>
      </c>
    </row>
    <row r="161" spans="1:27" ht="20.100000000000001" customHeight="1">
      <c r="A161" s="3">
        <v>2010</v>
      </c>
      <c r="B161" s="1" t="s">
        <v>63</v>
      </c>
      <c r="C161" s="1" t="s">
        <v>64</v>
      </c>
      <c r="D161" s="6">
        <v>80.790000000000006</v>
      </c>
      <c r="E161" s="6">
        <v>34204</v>
      </c>
      <c r="F161" s="6">
        <v>7643</v>
      </c>
      <c r="G161" s="6">
        <v>1152</v>
      </c>
      <c r="H161" s="6">
        <v>0.1265</v>
      </c>
      <c r="I161" s="6">
        <v>1974</v>
      </c>
      <c r="J161" s="6">
        <v>6864</v>
      </c>
      <c r="K161" s="6">
        <v>3495</v>
      </c>
      <c r="L161" s="6">
        <v>-3360</v>
      </c>
      <c r="M161" s="6">
        <v>181</v>
      </c>
      <c r="N161" s="6">
        <v>1.3253999999999999</v>
      </c>
      <c r="O161" s="6">
        <v>0.22739999999999999</v>
      </c>
      <c r="P161" s="6">
        <v>16.783200000000001</v>
      </c>
      <c r="Q161" s="6">
        <v>6.1285999999999996</v>
      </c>
      <c r="R161" s="6">
        <v>13.6736</v>
      </c>
      <c r="S161" s="6">
        <v>3.3679999999999999</v>
      </c>
      <c r="T161" s="6">
        <v>-5.4399999999999997E-2</v>
      </c>
      <c r="U161" s="6">
        <v>20.888500000000001</v>
      </c>
      <c r="V161" s="7">
        <v>33700</v>
      </c>
      <c r="W161" s="6">
        <v>1.64</v>
      </c>
      <c r="X161" s="8">
        <f t="shared" si="16"/>
        <v>3.3680271313296692E-2</v>
      </c>
      <c r="Y161" s="9">
        <f t="shared" si="17"/>
        <v>2.7131329669138893E-5</v>
      </c>
      <c r="Z161" s="8">
        <f t="shared" si="18"/>
        <v>0.22345339726347796</v>
      </c>
      <c r="AA161" s="8">
        <f t="shared" si="19"/>
        <v>0.10218103145830897</v>
      </c>
    </row>
    <row r="162" spans="1:27" ht="20.100000000000001" customHeight="1">
      <c r="A162" s="3">
        <v>2009</v>
      </c>
      <c r="B162" s="1" t="s">
        <v>63</v>
      </c>
      <c r="C162" s="1" t="s">
        <v>64</v>
      </c>
      <c r="D162" s="6">
        <v>58.24</v>
      </c>
      <c r="E162" s="6">
        <v>24509</v>
      </c>
      <c r="F162" s="6">
        <v>5531</v>
      </c>
      <c r="G162" s="6">
        <v>902</v>
      </c>
      <c r="H162" s="6">
        <v>0.10199999999999999</v>
      </c>
      <c r="I162" s="6">
        <v>1507</v>
      </c>
      <c r="J162" s="6">
        <v>5257</v>
      </c>
      <c r="K162" s="6">
        <v>3293</v>
      </c>
      <c r="L162" s="6">
        <v>-2337</v>
      </c>
      <c r="M162" s="6">
        <v>-280</v>
      </c>
      <c r="N162" s="6">
        <v>1.3304</v>
      </c>
      <c r="O162" s="6">
        <v>0.20069999999999999</v>
      </c>
      <c r="P162" s="6">
        <v>17.158100000000001</v>
      </c>
      <c r="Q162" s="6">
        <v>6.5301</v>
      </c>
      <c r="R162" s="6">
        <v>17.158100000000001</v>
      </c>
      <c r="S162" s="6">
        <v>3.6802999999999999</v>
      </c>
      <c r="T162" s="6">
        <v>0.33029999999999998</v>
      </c>
      <c r="U162" s="6">
        <v>22.421099999999999</v>
      </c>
      <c r="V162" s="7">
        <v>24300</v>
      </c>
      <c r="W162" s="6">
        <v>-0.35549999999999998</v>
      </c>
      <c r="X162" s="8">
        <f t="shared" si="16"/>
        <v>3.6802807132073935E-2</v>
      </c>
      <c r="Y162" s="9">
        <f t="shared" ref="Y162" si="20">X162*100-S162</f>
        <v>-1.9286792606543202E-5</v>
      </c>
      <c r="Z162" s="8">
        <f t="shared" si="18"/>
        <v>0.22567220204822719</v>
      </c>
      <c r="AA162" s="8">
        <f t="shared" si="19"/>
        <v>0.13435880696886857</v>
      </c>
    </row>
    <row r="166" spans="1:27" ht="27.9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27" ht="27.9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spans="1:27" ht="27.9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27" ht="27.9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27" ht="27.9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spans="1:27" ht="27.9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27" ht="27.9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spans="1:27" ht="27.9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spans="1:27" ht="27.9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spans="1:27" ht="27.9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27" ht="27.9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</sheetData>
  <mergeCells count="11">
    <mergeCell ref="A166:L166"/>
    <mergeCell ref="A167:L167"/>
    <mergeCell ref="A168:L168"/>
    <mergeCell ref="A169:L169"/>
    <mergeCell ref="A170:L170"/>
    <mergeCell ref="A176:L176"/>
    <mergeCell ref="A171:L171"/>
    <mergeCell ref="A172:L172"/>
    <mergeCell ref="A173:L173"/>
    <mergeCell ref="A174:L174"/>
    <mergeCell ref="A175:L17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4C75"/>
  </sheetPr>
  <dimension ref="A1:G30"/>
  <sheetViews>
    <sheetView showGridLines="0" zoomScale="85" zoomScaleNormal="85" workbookViewId="0">
      <selection activeCell="D30" sqref="D30"/>
    </sheetView>
  </sheetViews>
  <sheetFormatPr defaultRowHeight="13.8"/>
  <cols>
    <col min="1" max="1" width="11" customWidth="1"/>
    <col min="2" max="7" width="21" customWidth="1"/>
  </cols>
  <sheetData>
    <row r="1" spans="1:7" ht="21.9" customHeight="1">
      <c r="A1" s="1"/>
      <c r="B1" s="1"/>
      <c r="C1" s="1"/>
      <c r="D1" s="1"/>
      <c r="E1" s="1"/>
      <c r="F1" s="1"/>
      <c r="G1" s="1"/>
    </row>
    <row r="2" spans="1:7" ht="27.9" customHeight="1">
      <c r="A2" s="16" t="s">
        <v>0</v>
      </c>
      <c r="B2" s="16"/>
      <c r="C2" s="16"/>
      <c r="D2" s="16"/>
      <c r="E2" s="16"/>
      <c r="F2" s="16"/>
      <c r="G2" s="16"/>
    </row>
    <row r="3" spans="1:7" ht="21.9" customHeight="1">
      <c r="A3" s="17" t="s">
        <v>68</v>
      </c>
      <c r="B3" s="17"/>
      <c r="C3" s="17"/>
      <c r="D3" s="17"/>
      <c r="E3" s="17"/>
      <c r="F3" s="17"/>
      <c r="G3" s="17"/>
    </row>
    <row r="4" spans="1:7" ht="21.9" customHeight="1">
      <c r="A4" s="1"/>
      <c r="B4" s="1"/>
      <c r="C4" s="1"/>
      <c r="D4" s="1"/>
      <c r="E4" s="1"/>
      <c r="F4" s="1"/>
      <c r="G4" s="1"/>
    </row>
    <row r="5" spans="1:7" ht="21.9" customHeight="1">
      <c r="A5" s="2"/>
      <c r="B5" s="19" t="s">
        <v>1</v>
      </c>
      <c r="C5" s="19"/>
      <c r="D5" s="19" t="s">
        <v>2</v>
      </c>
      <c r="E5" s="19"/>
      <c r="F5" s="19" t="s">
        <v>3</v>
      </c>
      <c r="G5" s="19"/>
    </row>
    <row r="6" spans="1:7" ht="36" customHeight="1">
      <c r="A6" s="2" t="s">
        <v>4</v>
      </c>
      <c r="B6" s="2" t="s">
        <v>5</v>
      </c>
      <c r="C6" s="2" t="s">
        <v>6</v>
      </c>
      <c r="D6" s="2" t="s">
        <v>5</v>
      </c>
      <c r="E6" s="2" t="s">
        <v>6</v>
      </c>
      <c r="F6" s="2" t="s">
        <v>5</v>
      </c>
      <c r="G6" s="2" t="s">
        <v>6</v>
      </c>
    </row>
    <row r="7" spans="1:7" ht="21.9" customHeight="1">
      <c r="A7" s="1">
        <v>2009</v>
      </c>
      <c r="B7" s="4">
        <v>42905</v>
      </c>
      <c r="C7" s="5">
        <v>0.19193567183311969</v>
      </c>
      <c r="D7" s="4">
        <v>23651</v>
      </c>
      <c r="E7" s="5">
        <v>0.2756754471269714</v>
      </c>
      <c r="F7" s="4">
        <v>58437</v>
      </c>
      <c r="G7" s="5">
        <v>0.24931122405325393</v>
      </c>
    </row>
    <row r="8" spans="1:7" ht="21.9" customHeight="1">
      <c r="A8" s="10">
        <v>2010</v>
      </c>
      <c r="B8" s="11">
        <v>65225</v>
      </c>
      <c r="C8" s="12">
        <v>0.21484093522422384</v>
      </c>
      <c r="D8" s="11">
        <v>29321</v>
      </c>
      <c r="E8" s="12">
        <v>0.29006514102520375</v>
      </c>
      <c r="F8" s="11">
        <v>62484</v>
      </c>
      <c r="G8" s="12">
        <v>0.30023686063632288</v>
      </c>
    </row>
    <row r="9" spans="1:7" ht="21.9" customHeight="1">
      <c r="A9" s="1">
        <v>2011</v>
      </c>
      <c r="B9" s="4">
        <v>108249</v>
      </c>
      <c r="C9" s="5">
        <v>0.2394664153941376</v>
      </c>
      <c r="D9" s="4">
        <v>37905</v>
      </c>
      <c r="E9" s="5">
        <v>0.25687903970452447</v>
      </c>
      <c r="F9" s="4">
        <v>69943</v>
      </c>
      <c r="G9" s="5">
        <v>0.3309838010951775</v>
      </c>
    </row>
    <row r="10" spans="1:7" ht="21.9" customHeight="1">
      <c r="A10" s="10">
        <v>2012</v>
      </c>
      <c r="B10" s="11">
        <v>156508</v>
      </c>
      <c r="C10" s="12">
        <v>0.26665090602397323</v>
      </c>
      <c r="D10" s="11">
        <v>46039</v>
      </c>
      <c r="E10" s="12">
        <v>0.23321531744825039</v>
      </c>
      <c r="F10" s="11">
        <v>73723</v>
      </c>
      <c r="G10" s="12">
        <v>0.23029448069123612</v>
      </c>
    </row>
    <row r="11" spans="1:7" ht="21.9" customHeight="1">
      <c r="A11" s="1">
        <v>2013</v>
      </c>
      <c r="B11" s="4">
        <v>170910</v>
      </c>
      <c r="C11" s="5">
        <v>0.21670469837926393</v>
      </c>
      <c r="D11" s="4">
        <v>55519</v>
      </c>
      <c r="E11" s="5">
        <v>0.22934490895008916</v>
      </c>
      <c r="F11" s="4">
        <v>77849</v>
      </c>
      <c r="G11" s="5">
        <v>0.28083854641678119</v>
      </c>
    </row>
    <row r="12" spans="1:7" ht="21.9" customHeight="1">
      <c r="A12" s="10">
        <v>2014</v>
      </c>
      <c r="B12" s="11">
        <v>182795</v>
      </c>
      <c r="C12" s="12">
        <v>0.21614376760852322</v>
      </c>
      <c r="D12" s="11">
        <v>66001</v>
      </c>
      <c r="E12" s="12">
        <v>0.21417857305192345</v>
      </c>
      <c r="F12" s="11">
        <v>86833</v>
      </c>
      <c r="G12" s="12">
        <v>0.25421210829983992</v>
      </c>
    </row>
    <row r="13" spans="1:7" ht="21.9" customHeight="1">
      <c r="A13" s="1">
        <v>2015</v>
      </c>
      <c r="B13" s="4">
        <v>233715</v>
      </c>
      <c r="C13" s="5">
        <v>0.22845773698735639</v>
      </c>
      <c r="D13" s="4">
        <v>74989</v>
      </c>
      <c r="E13" s="5">
        <v>0.21104428649535265</v>
      </c>
      <c r="F13" s="4">
        <v>93580</v>
      </c>
      <c r="G13" s="5">
        <v>0.13029493481513144</v>
      </c>
    </row>
    <row r="14" spans="1:7" ht="21.9" customHeight="1">
      <c r="A14" s="10">
        <v>2016</v>
      </c>
      <c r="B14" s="11">
        <v>215639</v>
      </c>
      <c r="C14" s="12">
        <v>0.211867983064288</v>
      </c>
      <c r="D14" s="11">
        <v>90272</v>
      </c>
      <c r="E14" s="12">
        <v>0.2157701169797944</v>
      </c>
      <c r="F14" s="11">
        <v>91154</v>
      </c>
      <c r="G14" s="12">
        <v>0.22532198257893235</v>
      </c>
    </row>
    <row r="15" spans="1:7" ht="21.9" customHeight="1">
      <c r="A15" s="1">
        <v>2017</v>
      </c>
      <c r="B15" s="4">
        <v>229234</v>
      </c>
      <c r="C15" s="5">
        <v>0.21092420845075338</v>
      </c>
      <c r="D15" s="4">
        <v>110855</v>
      </c>
      <c r="E15" s="5">
        <v>0.11422128005051645</v>
      </c>
      <c r="F15" s="4">
        <v>96571</v>
      </c>
      <c r="G15" s="5">
        <v>0.26394052044609667</v>
      </c>
    </row>
    <row r="16" spans="1:7" ht="21.9" customHeight="1">
      <c r="A16" s="10">
        <v>2018</v>
      </c>
      <c r="B16" s="11">
        <v>265595</v>
      </c>
      <c r="C16" s="12">
        <v>0.22414202074587247</v>
      </c>
      <c r="D16" s="11">
        <v>136819</v>
      </c>
      <c r="E16" s="12">
        <v>0.22464716157843576</v>
      </c>
      <c r="F16" s="11">
        <v>110360</v>
      </c>
      <c r="G16" s="12">
        <v>0.15015404131931859</v>
      </c>
    </row>
    <row r="17" spans="1:7" ht="21.9" customHeight="1">
      <c r="A17" s="1">
        <v>2019</v>
      </c>
      <c r="B17" s="4">
        <v>260174</v>
      </c>
      <c r="C17" s="5">
        <v>0.21238094505984456</v>
      </c>
      <c r="D17" s="4">
        <v>161857</v>
      </c>
      <c r="E17" s="5">
        <v>0.21218112284300339</v>
      </c>
      <c r="F17" s="4">
        <v>125843</v>
      </c>
      <c r="G17" s="5">
        <v>0.31181710544090652</v>
      </c>
    </row>
    <row r="18" spans="1:7" ht="21.9" customHeight="1">
      <c r="A18" s="10">
        <v>2020</v>
      </c>
      <c r="B18" s="11">
        <v>274515</v>
      </c>
      <c r="C18" s="12">
        <v>0.20913611278072236</v>
      </c>
      <c r="D18" s="11">
        <v>182527</v>
      </c>
      <c r="E18" s="12">
        <v>0.22061941520980458</v>
      </c>
      <c r="F18" s="11">
        <v>143015</v>
      </c>
      <c r="G18" s="12">
        <v>0.30962486452470023</v>
      </c>
    </row>
    <row r="19" spans="1:7" ht="21.9" customHeight="1">
      <c r="A19" s="1">
        <v>2021</v>
      </c>
      <c r="B19" s="4">
        <v>365817</v>
      </c>
      <c r="C19" s="5">
        <v>0.25881793355694238</v>
      </c>
      <c r="D19" s="4">
        <v>257637</v>
      </c>
      <c r="E19" s="5">
        <v>0.29511677282377918</v>
      </c>
      <c r="F19" s="4">
        <v>168088</v>
      </c>
      <c r="G19" s="5">
        <v>0.36451739564989766</v>
      </c>
    </row>
    <row r="20" spans="1:7" ht="21.9" customHeight="1">
      <c r="A20" s="10">
        <v>2022</v>
      </c>
      <c r="B20" s="11">
        <v>394328</v>
      </c>
      <c r="C20" s="12">
        <v>0.25309640705199732</v>
      </c>
      <c r="D20" s="11">
        <v>282836</v>
      </c>
      <c r="E20" s="12">
        <v>0.21203807153261961</v>
      </c>
      <c r="F20" s="11">
        <v>198270</v>
      </c>
      <c r="G20" s="12">
        <v>0.36686336813436221</v>
      </c>
    </row>
    <row r="21" spans="1:7" ht="21.9" customHeight="1">
      <c r="A21" s="1"/>
      <c r="B21" s="1"/>
      <c r="C21" s="1"/>
      <c r="D21" s="1"/>
      <c r="E21" s="1"/>
      <c r="F21" s="1"/>
      <c r="G21" s="1"/>
    </row>
    <row r="22" spans="1:7" ht="21.9" customHeight="1">
      <c r="A22" s="1"/>
      <c r="B22" s="1"/>
      <c r="C22" s="1"/>
      <c r="D22" s="1"/>
      <c r="E22" s="1"/>
      <c r="F22" s="1"/>
      <c r="G22" s="1"/>
    </row>
    <row r="23" spans="1:7" ht="26.1" customHeight="1">
      <c r="A23" s="18" t="s">
        <v>7</v>
      </c>
      <c r="B23" s="18"/>
      <c r="C23" s="18"/>
      <c r="D23" s="18"/>
      <c r="E23" s="18"/>
      <c r="F23" s="18"/>
      <c r="G23" s="18"/>
    </row>
    <row r="24" spans="1:7" ht="26.1" customHeight="1">
      <c r="A24" s="18" t="s">
        <v>8</v>
      </c>
      <c r="B24" s="18"/>
      <c r="C24" s="18"/>
      <c r="D24" s="18"/>
      <c r="E24" s="18"/>
      <c r="F24" s="18"/>
      <c r="G24" s="18"/>
    </row>
    <row r="25" spans="1:7" ht="26.1" customHeight="1">
      <c r="A25" s="18" t="s">
        <v>9</v>
      </c>
      <c r="B25" s="18"/>
      <c r="C25" s="18"/>
      <c r="D25" s="18"/>
      <c r="E25" s="18"/>
      <c r="F25" s="18"/>
      <c r="G25" s="18"/>
    </row>
    <row r="26" spans="1:7" ht="26.1" customHeight="1">
      <c r="A26" s="18" t="s">
        <v>10</v>
      </c>
      <c r="B26" s="18"/>
      <c r="C26" s="18"/>
      <c r="D26" s="18"/>
      <c r="E26" s="18"/>
      <c r="F26" s="18"/>
      <c r="G26" s="18"/>
    </row>
    <row r="27" spans="1:7" ht="26.1" customHeight="1">
      <c r="A27" s="18" t="s">
        <v>11</v>
      </c>
      <c r="B27" s="18"/>
      <c r="C27" s="18"/>
      <c r="D27" s="18"/>
      <c r="E27" s="18"/>
      <c r="F27" s="18"/>
      <c r="G27" s="18"/>
    </row>
    <row r="28" spans="1:7" ht="26.1" customHeight="1">
      <c r="A28" s="18" t="s">
        <v>12</v>
      </c>
      <c r="B28" s="18"/>
      <c r="C28" s="18"/>
      <c r="D28" s="18"/>
      <c r="E28" s="18"/>
      <c r="F28" s="18"/>
      <c r="G28" s="18"/>
    </row>
    <row r="29" spans="1:7" ht="21.9" customHeight="1">
      <c r="A29" s="1"/>
      <c r="B29" s="1"/>
      <c r="C29" s="1"/>
      <c r="D29" s="1"/>
      <c r="E29" s="1"/>
      <c r="F29" s="1"/>
      <c r="G29" s="1"/>
    </row>
    <row r="30" spans="1:7" ht="21.9" customHeight="1">
      <c r="A30" s="1"/>
      <c r="B30" s="1"/>
      <c r="C30" s="1"/>
      <c r="D30" s="1"/>
      <c r="E30" s="1"/>
      <c r="F30" s="1"/>
      <c r="G30" s="1"/>
    </row>
  </sheetData>
  <mergeCells count="11">
    <mergeCell ref="A2:G2"/>
    <mergeCell ref="A3:G3"/>
    <mergeCell ref="B5:C5"/>
    <mergeCell ref="D5:E5"/>
    <mergeCell ref="F5:G5"/>
    <mergeCell ref="A28:G28"/>
    <mergeCell ref="A23:G23"/>
    <mergeCell ref="A24:G24"/>
    <mergeCell ref="A25:G25"/>
    <mergeCell ref="A26:G26"/>
    <mergeCell ref="A27:G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4C75"/>
  </sheetPr>
  <dimension ref="A1:P25"/>
  <sheetViews>
    <sheetView showGridLines="0" zoomScale="55" zoomScaleNormal="55" workbookViewId="0">
      <selection activeCell="C24" sqref="C24"/>
    </sheetView>
  </sheetViews>
  <sheetFormatPr defaultRowHeight="13.8"/>
  <cols>
    <col min="1" max="1" width="11" customWidth="1"/>
    <col min="2" max="4" width="18" customWidth="1"/>
    <col min="5" max="5" width="4" customWidth="1"/>
    <col min="6" max="16" width="10" customWidth="1"/>
  </cols>
  <sheetData>
    <row r="1" spans="1:16" ht="21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1.9" customHeight="1">
      <c r="A3" s="17" t="s">
        <v>14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1.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1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.9" customHeight="1">
      <c r="A6" s="2" t="s">
        <v>4</v>
      </c>
      <c r="B6" s="2" t="s">
        <v>1</v>
      </c>
      <c r="C6" s="2" t="s">
        <v>2</v>
      </c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.9" customHeight="1">
      <c r="A7" s="3">
        <v>2009</v>
      </c>
      <c r="B7" s="4">
        <v>42905</v>
      </c>
      <c r="C7" s="4">
        <v>23651</v>
      </c>
      <c r="D7" s="4">
        <v>58437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.9" customHeight="1">
      <c r="A8" s="13">
        <v>2010</v>
      </c>
      <c r="B8" s="11">
        <v>65225</v>
      </c>
      <c r="C8" s="11">
        <v>29321</v>
      </c>
      <c r="D8" s="11">
        <v>62484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.9" customHeight="1">
      <c r="A9" s="3">
        <v>2011</v>
      </c>
      <c r="B9" s="4">
        <v>108249</v>
      </c>
      <c r="C9" s="4">
        <v>37905</v>
      </c>
      <c r="D9" s="4">
        <v>69943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.9" customHeight="1">
      <c r="A10" s="13">
        <v>2012</v>
      </c>
      <c r="B10" s="11">
        <v>156508</v>
      </c>
      <c r="C10" s="11">
        <v>46039</v>
      </c>
      <c r="D10" s="11">
        <v>73723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.9" customHeight="1">
      <c r="A11" s="3">
        <v>2013</v>
      </c>
      <c r="B11" s="4">
        <v>170910</v>
      </c>
      <c r="C11" s="4">
        <v>55519</v>
      </c>
      <c r="D11" s="4">
        <v>77849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.9" customHeight="1">
      <c r="A12" s="13">
        <v>2014</v>
      </c>
      <c r="B12" s="11">
        <v>182795</v>
      </c>
      <c r="C12" s="11">
        <v>66001</v>
      </c>
      <c r="D12" s="11">
        <v>86833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.9" customHeight="1">
      <c r="A13" s="3">
        <v>2015</v>
      </c>
      <c r="B13" s="4">
        <v>233715</v>
      </c>
      <c r="C13" s="4">
        <v>74989</v>
      </c>
      <c r="D13" s="4">
        <v>93580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.9" customHeight="1">
      <c r="A14" s="13">
        <v>2016</v>
      </c>
      <c r="B14" s="11">
        <v>215639</v>
      </c>
      <c r="C14" s="11">
        <v>90272</v>
      </c>
      <c r="D14" s="11">
        <v>91154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.9" customHeight="1">
      <c r="A15" s="3">
        <v>2017</v>
      </c>
      <c r="B15" s="4">
        <v>229234</v>
      </c>
      <c r="C15" s="4">
        <v>110855</v>
      </c>
      <c r="D15" s="4">
        <v>96571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.9" customHeight="1">
      <c r="A16" s="13">
        <v>2018</v>
      </c>
      <c r="B16" s="11">
        <v>265595</v>
      </c>
      <c r="C16" s="11">
        <v>136819</v>
      </c>
      <c r="D16" s="11">
        <v>110360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>
      <c r="A17" s="3">
        <v>2019</v>
      </c>
      <c r="B17" s="4">
        <v>260174</v>
      </c>
      <c r="C17" s="4">
        <v>161857</v>
      </c>
      <c r="D17" s="4">
        <v>125843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.9" customHeight="1">
      <c r="A18" s="13">
        <v>2020</v>
      </c>
      <c r="B18" s="11">
        <v>274515</v>
      </c>
      <c r="C18" s="11">
        <v>182527</v>
      </c>
      <c r="D18" s="11">
        <v>143015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.9" customHeight="1">
      <c r="A19" s="3">
        <v>2021</v>
      </c>
      <c r="B19" s="4">
        <v>365817</v>
      </c>
      <c r="C19" s="4">
        <v>257637</v>
      </c>
      <c r="D19" s="4">
        <v>168088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.9" customHeight="1">
      <c r="A20" s="13">
        <v>2022</v>
      </c>
      <c r="B20" s="11">
        <v>394328</v>
      </c>
      <c r="C20" s="11">
        <v>282836</v>
      </c>
      <c r="D20" s="11">
        <v>198270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.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.9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.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.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.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2">
    <mergeCell ref="A2:P2"/>
    <mergeCell ref="A3:P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4C75"/>
  </sheetPr>
  <dimension ref="A1:P25"/>
  <sheetViews>
    <sheetView showGridLines="0" zoomScaleNormal="100" workbookViewId="0">
      <selection activeCell="C5" sqref="C5"/>
    </sheetView>
  </sheetViews>
  <sheetFormatPr defaultRowHeight="13.8"/>
  <cols>
    <col min="1" max="1" width="11" customWidth="1"/>
    <col min="2" max="4" width="18" customWidth="1"/>
    <col min="5" max="5" width="4" customWidth="1"/>
    <col min="6" max="16" width="10" customWidth="1"/>
  </cols>
  <sheetData>
    <row r="1" spans="1:16" ht="21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>
      <c r="A2" s="16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1.9" customHeight="1">
      <c r="A3" s="17" t="s">
        <v>65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1.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1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.9" customHeight="1">
      <c r="A6" s="2" t="s">
        <v>4</v>
      </c>
      <c r="B6" s="2" t="s">
        <v>1</v>
      </c>
      <c r="C6" s="2" t="s">
        <v>2</v>
      </c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.9" customHeight="1">
      <c r="A7" s="3">
        <v>2009</v>
      </c>
      <c r="B7" s="5">
        <v>0.19193567183311969</v>
      </c>
      <c r="C7" s="5">
        <v>0.2756754471269714</v>
      </c>
      <c r="D7" s="5">
        <v>0.24931122405325393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.9" customHeight="1">
      <c r="A8" s="13">
        <v>2010</v>
      </c>
      <c r="B8" s="12">
        <v>0.21484093522422384</v>
      </c>
      <c r="C8" s="12">
        <v>0.29006514102520375</v>
      </c>
      <c r="D8" s="12">
        <v>0.30023686063632288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.9" customHeight="1">
      <c r="A9" s="3">
        <v>2011</v>
      </c>
      <c r="B9" s="5">
        <v>0.2394664153941376</v>
      </c>
      <c r="C9" s="5">
        <v>0.25687903970452447</v>
      </c>
      <c r="D9" s="5">
        <v>0.3309838010951775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.9" customHeight="1">
      <c r="A10" s="13">
        <v>2012</v>
      </c>
      <c r="B10" s="12">
        <v>0.26665090602397323</v>
      </c>
      <c r="C10" s="12">
        <v>0.23321531744825039</v>
      </c>
      <c r="D10" s="12">
        <v>0.23029448069123612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.9" customHeight="1">
      <c r="A11" s="3">
        <v>2013</v>
      </c>
      <c r="B11" s="5">
        <v>0.21670469837926393</v>
      </c>
      <c r="C11" s="5">
        <v>0.22934490895008916</v>
      </c>
      <c r="D11" s="5">
        <v>0.28083854641678119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.9" customHeight="1">
      <c r="A12" s="13">
        <v>2014</v>
      </c>
      <c r="B12" s="12">
        <v>0.21614376760852322</v>
      </c>
      <c r="C12" s="12">
        <v>0.21417857305192345</v>
      </c>
      <c r="D12" s="12">
        <v>0.25421210829983992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.9" customHeight="1">
      <c r="A13" s="3">
        <v>2015</v>
      </c>
      <c r="B13" s="5">
        <v>0.22845773698735639</v>
      </c>
      <c r="C13" s="5">
        <v>0.21104428649535265</v>
      </c>
      <c r="D13" s="5">
        <v>0.13029493481513144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.9" customHeight="1">
      <c r="A14" s="13">
        <v>2016</v>
      </c>
      <c r="B14" s="12">
        <v>0.211867983064288</v>
      </c>
      <c r="C14" s="12">
        <v>0.2157701169797944</v>
      </c>
      <c r="D14" s="12">
        <v>0.22532198257893235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.9" customHeight="1">
      <c r="A15" s="3">
        <v>2017</v>
      </c>
      <c r="B15" s="5">
        <v>0.21092420845075338</v>
      </c>
      <c r="C15" s="5">
        <v>0.11422128005051645</v>
      </c>
      <c r="D15" s="5">
        <v>0.26394052044609667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.9" customHeight="1">
      <c r="A16" s="13">
        <v>2018</v>
      </c>
      <c r="B16" s="12">
        <v>0.22414202074587247</v>
      </c>
      <c r="C16" s="12">
        <v>0.22464716157843576</v>
      </c>
      <c r="D16" s="12">
        <v>0.15015404131931859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>
      <c r="A17" s="3">
        <v>2019</v>
      </c>
      <c r="B17" s="5">
        <v>0.21238094505984456</v>
      </c>
      <c r="C17" s="5">
        <v>0.21218112284300339</v>
      </c>
      <c r="D17" s="5">
        <v>0.31181710544090652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.9" customHeight="1">
      <c r="A18" s="13">
        <v>2020</v>
      </c>
      <c r="B18" s="12">
        <v>0.20913611278072236</v>
      </c>
      <c r="C18" s="12">
        <v>0.22061941520980458</v>
      </c>
      <c r="D18" s="12">
        <v>0.30962486452470023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.9" customHeight="1">
      <c r="A19" s="3">
        <v>2021</v>
      </c>
      <c r="B19" s="5">
        <v>0.25881793355694238</v>
      </c>
      <c r="C19" s="5">
        <v>0.29511677282377918</v>
      </c>
      <c r="D19" s="5">
        <v>0.36451739564989766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.9" customHeight="1">
      <c r="A20" s="13">
        <v>2022</v>
      </c>
      <c r="B20" s="12">
        <v>0.25309640705199732</v>
      </c>
      <c r="C20" s="12">
        <v>0.21203807153261961</v>
      </c>
      <c r="D20" s="12">
        <v>0.36686336813436221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.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.9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.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.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.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2">
    <mergeCell ref="A2:P2"/>
    <mergeCell ref="A3:P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84C75"/>
  </sheetPr>
  <dimension ref="A1:P25"/>
  <sheetViews>
    <sheetView showGridLines="0" workbookViewId="0">
      <selection activeCell="A4" sqref="A4"/>
    </sheetView>
  </sheetViews>
  <sheetFormatPr defaultRowHeight="13.8"/>
  <cols>
    <col min="1" max="1" width="11" customWidth="1"/>
    <col min="2" max="4" width="18" customWidth="1"/>
    <col min="5" max="5" width="4" customWidth="1"/>
    <col min="6" max="16" width="10" customWidth="1"/>
  </cols>
  <sheetData>
    <row r="1" spans="1:16" ht="21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1.9" customHeight="1">
      <c r="A3" s="17" t="s">
        <v>65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1.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1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.9" customHeight="1">
      <c r="A6" s="2" t="s">
        <v>4</v>
      </c>
      <c r="B6" s="2" t="s">
        <v>1</v>
      </c>
      <c r="C6" s="2" t="s">
        <v>2</v>
      </c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.9" customHeight="1">
      <c r="A7" s="3">
        <v>2009</v>
      </c>
      <c r="B7" s="5">
        <v>0.23677893019461602</v>
      </c>
      <c r="C7" s="5">
        <v>0.3938945499133229</v>
      </c>
      <c r="D7" s="5">
        <v>0.325769632253538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.9" customHeight="1">
      <c r="A8" s="13">
        <v>2010</v>
      </c>
      <c r="B8" s="12">
        <v>0.28509007282483712</v>
      </c>
      <c r="C8" s="12">
        <v>0.37792026192831074</v>
      </c>
      <c r="D8" s="12">
        <v>0.38526662825683378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.9" customHeight="1">
      <c r="A9" s="3">
        <v>2011</v>
      </c>
      <c r="B9" s="5">
        <v>0.3466914244011492</v>
      </c>
      <c r="C9" s="5">
        <v>0.38425009893153939</v>
      </c>
      <c r="D9" s="5">
        <v>0.38594283916903765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.9" customHeight="1">
      <c r="A10" s="13">
        <v>2012</v>
      </c>
      <c r="B10" s="12">
        <v>0.32494185600736064</v>
      </c>
      <c r="C10" s="12">
        <v>0.36097656334846545</v>
      </c>
      <c r="D10" s="12">
        <v>0.42898417047597087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.9" customHeight="1">
      <c r="A11" s="3">
        <v>2013</v>
      </c>
      <c r="B11" s="5">
        <v>0.31400152126850389</v>
      </c>
      <c r="C11" s="5">
        <v>0.33608314270790179</v>
      </c>
      <c r="D11" s="5">
        <v>0.37037084612519106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.9" customHeight="1">
      <c r="A12" s="13">
        <v>2014</v>
      </c>
      <c r="B12" s="12">
        <v>0.32666648431302825</v>
      </c>
      <c r="C12" s="12">
        <v>0.34884319934546448</v>
      </c>
      <c r="D12" s="12">
        <v>0.37430469982610298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.9" customHeight="1">
      <c r="A13" s="3">
        <v>2015</v>
      </c>
      <c r="B13" s="5">
        <v>0.34771409622831229</v>
      </c>
      <c r="C13" s="5">
        <v>0.35434530397791675</v>
      </c>
      <c r="D13" s="5">
        <v>0.31703355417824319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.9" customHeight="1">
      <c r="A14" s="13">
        <v>2016</v>
      </c>
      <c r="B14" s="12">
        <v>0.30713831913522138</v>
      </c>
      <c r="C14" s="12">
        <v>0.39919354838709675</v>
      </c>
      <c r="D14" s="12">
        <v>0.36559010026987299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.9" customHeight="1">
      <c r="A15" s="3">
        <v>2017</v>
      </c>
      <c r="B15" s="5">
        <v>0.28017222576057654</v>
      </c>
      <c r="C15" s="5">
        <v>0.3345902304812593</v>
      </c>
      <c r="D15" s="5">
        <v>0.40909796936968656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.9" customHeight="1">
      <c r="A16" s="13">
        <v>2018</v>
      </c>
      <c r="B16" s="12">
        <v>0.29154916319960844</v>
      </c>
      <c r="C16" s="12">
        <v>0.35061650794114851</v>
      </c>
      <c r="D16" s="12">
        <v>0.39764407393983325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>
      <c r="A17" s="3">
        <v>2019</v>
      </c>
      <c r="B17" s="5">
        <v>0.2667099710193947</v>
      </c>
      <c r="C17" s="5">
        <v>0.33684054443119543</v>
      </c>
      <c r="D17" s="5">
        <v>0.41468337531686306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.9" customHeight="1">
      <c r="A18" s="13">
        <v>2020</v>
      </c>
      <c r="B18" s="12">
        <v>0.29387829444656938</v>
      </c>
      <c r="C18" s="12">
        <v>0.35679105009121936</v>
      </c>
      <c r="D18" s="12">
        <v>0.42425619690242283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.9" customHeight="1">
      <c r="A19" s="3">
        <v>2021</v>
      </c>
      <c r="B19" s="5">
        <v>0.28439903011615097</v>
      </c>
      <c r="C19" s="5">
        <v>0.35574082915109245</v>
      </c>
      <c r="D19" s="5">
        <v>0.4565465708438437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.9" customHeight="1">
      <c r="A20" s="13">
        <v>2022</v>
      </c>
      <c r="B20" s="12">
        <v>0.30977003915522106</v>
      </c>
      <c r="C20" s="12">
        <v>0.32349135187882733</v>
      </c>
      <c r="D20" s="12">
        <v>0.44905936349422504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.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.9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.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.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.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2">
    <mergeCell ref="A2:P2"/>
    <mergeCell ref="A3:P3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84C75"/>
  </sheetPr>
  <dimension ref="A1:P25"/>
  <sheetViews>
    <sheetView showGridLines="0" workbookViewId="0">
      <selection activeCell="A4" sqref="A4"/>
    </sheetView>
  </sheetViews>
  <sheetFormatPr defaultRowHeight="13.8"/>
  <cols>
    <col min="1" max="1" width="11" customWidth="1"/>
    <col min="2" max="4" width="18" customWidth="1"/>
    <col min="5" max="5" width="4" customWidth="1"/>
    <col min="6" max="16" width="10" customWidth="1"/>
  </cols>
  <sheetData>
    <row r="1" spans="1:16" ht="21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>
      <c r="A2" s="16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1.9" customHeight="1">
      <c r="A3" s="17" t="s">
        <v>66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1.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1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.9" customHeight="1">
      <c r="A6" s="2" t="s">
        <v>4</v>
      </c>
      <c r="B6" s="2" t="s">
        <v>1</v>
      </c>
      <c r="C6" s="2" t="s">
        <v>2</v>
      </c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.9" customHeight="1">
      <c r="A7" s="3">
        <v>2009</v>
      </c>
      <c r="B7" s="14">
        <v>2.7425000000000002</v>
      </c>
      <c r="C7" s="14">
        <v>10.617800000000001</v>
      </c>
      <c r="D7" s="14">
        <v>1.8229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.9" customHeight="1">
      <c r="A8" s="13">
        <v>2010</v>
      </c>
      <c r="B8" s="15">
        <v>2.0112999999999999</v>
      </c>
      <c r="C8" s="15">
        <v>4.1578999999999997</v>
      </c>
      <c r="D8" s="15">
        <v>2.1293000000000002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.9" customHeight="1">
      <c r="A9" s="3">
        <v>2011</v>
      </c>
      <c r="B9" s="14">
        <v>1.6084000000000001</v>
      </c>
      <c r="C9" s="14">
        <v>5.9192</v>
      </c>
      <c r="D9" s="14">
        <v>2.6036999999999999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.9" customHeight="1">
      <c r="A10" s="13">
        <v>2012</v>
      </c>
      <c r="B10" s="15">
        <v>1.4958</v>
      </c>
      <c r="C10" s="15">
        <v>4.2165999999999997</v>
      </c>
      <c r="D10" s="15">
        <v>2.6029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.9" customHeight="1">
      <c r="A11" s="3">
        <v>2013</v>
      </c>
      <c r="B11" s="14">
        <v>1.6786000000000001</v>
      </c>
      <c r="C11" s="14">
        <v>4.5816999999999997</v>
      </c>
      <c r="D11" s="14">
        <v>2.7118000000000002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.9" customHeight="1">
      <c r="A12" s="13">
        <v>2014</v>
      </c>
      <c r="B12" s="15">
        <v>1.0801000000000001</v>
      </c>
      <c r="C12" s="15">
        <v>4.6878000000000002</v>
      </c>
      <c r="D12" s="15">
        <v>2.504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.9" customHeight="1">
      <c r="A13" s="3">
        <v>2015</v>
      </c>
      <c r="B13" s="14">
        <v>1.1088</v>
      </c>
      <c r="C13" s="14">
        <v>4.6666999999999996</v>
      </c>
      <c r="D13" s="14">
        <v>2.4733999999999998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.9" customHeight="1">
      <c r="A14" s="13">
        <v>2016</v>
      </c>
      <c r="B14" s="15">
        <v>1.3527</v>
      </c>
      <c r="C14" s="15">
        <v>6.2907999999999999</v>
      </c>
      <c r="D14" s="15">
        <v>2.3529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.9" customHeight="1">
      <c r="A15" s="3">
        <v>2017</v>
      </c>
      <c r="B15" s="14">
        <v>1.2761</v>
      </c>
      <c r="C15" s="14">
        <v>5.1402999999999999</v>
      </c>
      <c r="D15" s="14">
        <v>2.9186000000000001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.9" customHeight="1">
      <c r="A16" s="13">
        <v>2018</v>
      </c>
      <c r="B16" s="15">
        <v>1.1329</v>
      </c>
      <c r="C16" s="15">
        <v>3.919</v>
      </c>
      <c r="D16" s="15">
        <v>2.9007999999999998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>
      <c r="A17" s="3">
        <v>2019</v>
      </c>
      <c r="B17" s="14">
        <v>1.5401</v>
      </c>
      <c r="C17" s="14">
        <v>3.3740999999999999</v>
      </c>
      <c r="D17" s="14">
        <v>2.5287999999999999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.9" customHeight="1">
      <c r="A18" s="13">
        <v>2020</v>
      </c>
      <c r="B18" s="15">
        <v>1.3635999999999999</v>
      </c>
      <c r="C18" s="15">
        <v>3.0668000000000002</v>
      </c>
      <c r="D18" s="15">
        <v>2.5158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.9" customHeight="1">
      <c r="A19" s="3">
        <v>2021</v>
      </c>
      <c r="B19" s="14">
        <v>1.0746</v>
      </c>
      <c r="C19" s="14">
        <v>2.9281000000000001</v>
      </c>
      <c r="D19" s="14">
        <v>2.08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.9" customHeight="1">
      <c r="A20" s="13">
        <v>2022</v>
      </c>
      <c r="B20" s="15">
        <v>0.87939999999999996</v>
      </c>
      <c r="C20" s="15">
        <v>2.3780000000000001</v>
      </c>
      <c r="D20" s="15">
        <v>1.7846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.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.9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.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.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.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2">
    <mergeCell ref="A2:P2"/>
    <mergeCell ref="A3:P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84C75"/>
  </sheetPr>
  <dimension ref="A1:P25"/>
  <sheetViews>
    <sheetView showGridLines="0" workbookViewId="0">
      <selection activeCell="C5" sqref="C5"/>
    </sheetView>
  </sheetViews>
  <sheetFormatPr defaultRowHeight="13.8"/>
  <cols>
    <col min="1" max="1" width="11" customWidth="1"/>
    <col min="2" max="4" width="18" customWidth="1"/>
    <col min="5" max="5" width="4" customWidth="1"/>
    <col min="6" max="16" width="10" customWidth="1"/>
  </cols>
  <sheetData>
    <row r="1" spans="1:16" ht="21.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>
      <c r="A2" s="16" t="s">
        <v>18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1.9" customHeight="1">
      <c r="A3" s="17" t="s">
        <v>67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ht="21.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1.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1.9" customHeight="1">
      <c r="A6" s="2" t="s">
        <v>4</v>
      </c>
      <c r="B6" s="2" t="s">
        <v>1</v>
      </c>
      <c r="C6" s="2" t="s">
        <v>2</v>
      </c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1.9" customHeight="1">
      <c r="A7" s="3">
        <v>2009</v>
      </c>
      <c r="B7" s="14">
        <v>0</v>
      </c>
      <c r="C7" s="14">
        <v>0</v>
      </c>
      <c r="D7" s="14">
        <v>0.14530000000000001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1.9" customHeight="1">
      <c r="A8" s="13">
        <v>2010</v>
      </c>
      <c r="B8" s="15">
        <v>0</v>
      </c>
      <c r="C8" s="15">
        <v>7.4899999999999994E-2</v>
      </c>
      <c r="D8" s="15">
        <v>0.12859999999999999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1.9" customHeight="1">
      <c r="A9" s="3">
        <v>2011</v>
      </c>
      <c r="B9" s="14">
        <v>0</v>
      </c>
      <c r="C9" s="14">
        <v>7.2300000000000003E-2</v>
      </c>
      <c r="D9" s="14">
        <v>0.20880000000000001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1.9" customHeight="1">
      <c r="A10" s="13">
        <v>2012</v>
      </c>
      <c r="B10" s="15">
        <v>0</v>
      </c>
      <c r="C10" s="15">
        <v>7.7200000000000005E-2</v>
      </c>
      <c r="D10" s="15">
        <v>0.18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1.9" customHeight="1">
      <c r="A11" s="3">
        <v>2013</v>
      </c>
      <c r="B11" s="14">
        <v>0.13730000000000001</v>
      </c>
      <c r="C11" s="14">
        <v>6.0100000000000001E-2</v>
      </c>
      <c r="D11" s="14">
        <v>0.1976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1.9" customHeight="1">
      <c r="A12" s="13">
        <v>2014</v>
      </c>
      <c r="B12" s="15">
        <v>0.31640000000000001</v>
      </c>
      <c r="C12" s="15">
        <v>5.04E-2</v>
      </c>
      <c r="D12" s="15">
        <v>0.25219999999999998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1.9" customHeight="1">
      <c r="A13" s="3">
        <v>2015</v>
      </c>
      <c r="B13" s="14">
        <v>0.53900000000000003</v>
      </c>
      <c r="C13" s="14">
        <v>4.3400000000000001E-2</v>
      </c>
      <c r="D13" s="14">
        <v>0.44069999999999998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1.9" customHeight="1">
      <c r="A14" s="13">
        <v>2016</v>
      </c>
      <c r="B14" s="15">
        <v>0.67859999999999998</v>
      </c>
      <c r="C14" s="15">
        <v>2.8299999999999999E-2</v>
      </c>
      <c r="D14" s="15">
        <v>0.74250000000000005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1.9" customHeight="1">
      <c r="A15" s="3">
        <v>2017</v>
      </c>
      <c r="B15" s="14">
        <v>0.86299999999999999</v>
      </c>
      <c r="C15" s="14">
        <v>2.5999999999999999E-2</v>
      </c>
      <c r="D15" s="14">
        <v>0.98270000000000002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1.9" customHeight="1">
      <c r="A16" s="13">
        <v>2018</v>
      </c>
      <c r="B16" s="15">
        <v>1.0685</v>
      </c>
      <c r="C16" s="15">
        <v>2.2599999999999999E-2</v>
      </c>
      <c r="D16" s="15">
        <v>0.92169999999999996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>
      <c r="A17" s="3">
        <v>2019</v>
      </c>
      <c r="B17" s="14">
        <v>1.194</v>
      </c>
      <c r="C17" s="14">
        <v>2.2599999999999999E-2</v>
      </c>
      <c r="D17" s="14">
        <v>0.70530000000000004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1.9" customHeight="1">
      <c r="A18" s="13">
        <v>2020</v>
      </c>
      <c r="B18" s="15">
        <v>1.7208000000000001</v>
      </c>
      <c r="C18" s="15">
        <v>6.2600000000000003E-2</v>
      </c>
      <c r="D18" s="15">
        <v>0.5353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1.9" customHeight="1">
      <c r="A19" s="3">
        <v>2021</v>
      </c>
      <c r="B19" s="14">
        <v>1.9767999999999999</v>
      </c>
      <c r="C19" s="14">
        <v>5.8900000000000001E-2</v>
      </c>
      <c r="D19" s="14">
        <v>0.40949999999999998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1.9" customHeight="1">
      <c r="A20" s="13">
        <v>2022</v>
      </c>
      <c r="B20" s="15">
        <v>2.3694999999999999</v>
      </c>
      <c r="C20" s="15">
        <v>5.74E-2</v>
      </c>
      <c r="D20" s="15">
        <v>0.2989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1.9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1.9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1.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1.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.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2">
    <mergeCell ref="A2:P2"/>
    <mergeCell ref="A3:P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</vt:lpstr>
      <vt:lpstr>Comparação financeira</vt:lpstr>
      <vt:lpstr>Receitas</vt:lpstr>
      <vt:lpstr>Rentabilidade</vt:lpstr>
      <vt:lpstr>Caixa operacional</vt:lpstr>
      <vt:lpstr>Liquidez</vt:lpstr>
      <vt:lpstr>Endividamento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2026-09-30T16:30:12Z</dcterms:created>
  <dcterms:modified xsi:type="dcterms:W3CDTF">2026-10-01T01:52:10Z</dcterms:modified>
</cp:coreProperties>
</file>